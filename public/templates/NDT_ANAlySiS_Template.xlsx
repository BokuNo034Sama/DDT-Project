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rovident\Downloads\"/>
    </mc:Choice>
  </mc:AlternateContent>
  <xr:revisionPtr revIDLastSave="0" documentId="8_{019A1988-0627-4A9A-8C5B-883C2A419010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Gf" sheetId="1" r:id="rId1"/>
    <sheet name="FF" sheetId="2" r:id="rId2"/>
    <sheet name="SF" sheetId="4" r:id="rId3"/>
    <sheet name="TF" sheetId="5" r:id="rId4"/>
    <sheet name="FoF" sheetId="6" r:id="rId5"/>
    <sheet name="FiF" sheetId="7" r:id="rId6"/>
    <sheet name="SiF" sheetId="8" r:id="rId7"/>
    <sheet name="Summary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F6" i="3"/>
  <c r="G6" i="3"/>
  <c r="E7" i="3"/>
  <c r="F7" i="3"/>
  <c r="G7" i="3"/>
  <c r="E8" i="3"/>
  <c r="F8" i="3"/>
  <c r="G8" i="3" s="1"/>
  <c r="E9" i="3"/>
  <c r="F9" i="3"/>
  <c r="G9" i="3"/>
  <c r="E10" i="3"/>
  <c r="F10" i="3"/>
  <c r="G10" i="3"/>
  <c r="E11" i="3"/>
  <c r="F11" i="3"/>
  <c r="G11" i="3"/>
  <c r="E12" i="3"/>
  <c r="F12" i="3"/>
  <c r="G12" i="3" s="1"/>
  <c r="E13" i="3"/>
  <c r="F13" i="3"/>
  <c r="G13" i="3"/>
  <c r="E14" i="3"/>
  <c r="F14" i="3"/>
  <c r="G14" i="3"/>
  <c r="E15" i="3"/>
  <c r="F15" i="3"/>
  <c r="G15" i="3"/>
  <c r="E16" i="3"/>
  <c r="F16" i="3"/>
  <c r="G16" i="3" s="1"/>
  <c r="E17" i="3"/>
  <c r="F17" i="3"/>
  <c r="G17" i="3"/>
  <c r="E18" i="3"/>
  <c r="F18" i="3"/>
  <c r="G18" i="3"/>
  <c r="E19" i="3"/>
  <c r="F19" i="3"/>
  <c r="G19" i="3"/>
  <c r="E20" i="3"/>
  <c r="F20" i="3"/>
  <c r="G20" i="3" s="1"/>
  <c r="W22" i="8"/>
  <c r="X22" i="8" s="1"/>
  <c r="W21" i="8"/>
  <c r="X21" i="8" s="1"/>
  <c r="W20" i="8"/>
  <c r="X20" i="8" s="1"/>
  <c r="Y20" i="8" s="1"/>
  <c r="Z20" i="8" s="1"/>
  <c r="X19" i="8"/>
  <c r="W19" i="8"/>
  <c r="W18" i="8"/>
  <c r="X18" i="8" s="1"/>
  <c r="W17" i="8"/>
  <c r="X17" i="8" s="1"/>
  <c r="Y17" i="8" s="1"/>
  <c r="Z17" i="8" s="1"/>
  <c r="W16" i="8"/>
  <c r="X16" i="8" s="1"/>
  <c r="X15" i="8"/>
  <c r="W15" i="8"/>
  <c r="W14" i="8"/>
  <c r="X14" i="8" s="1"/>
  <c r="W13" i="8"/>
  <c r="X13" i="8" s="1"/>
  <c r="N13" i="8"/>
  <c r="O13" i="8" s="1"/>
  <c r="W12" i="8"/>
  <c r="X12" i="8" s="1"/>
  <c r="O12" i="8"/>
  <c r="N12" i="8"/>
  <c r="W11" i="8"/>
  <c r="X11" i="8" s="1"/>
  <c r="N11" i="8"/>
  <c r="O11" i="8" s="1"/>
  <c r="P11" i="8" s="1"/>
  <c r="Q11" i="8" s="1"/>
  <c r="W10" i="8"/>
  <c r="X10" i="8" s="1"/>
  <c r="O10" i="8"/>
  <c r="N10" i="8"/>
  <c r="X9" i="8"/>
  <c r="W9" i="8"/>
  <c r="N9" i="8"/>
  <c r="O9" i="8" s="1"/>
  <c r="P8" i="8" s="1"/>
  <c r="Q8" i="8" s="1"/>
  <c r="W8" i="8"/>
  <c r="X8" i="8" s="1"/>
  <c r="O8" i="8"/>
  <c r="N8" i="8"/>
  <c r="X7" i="8"/>
  <c r="W7" i="8"/>
  <c r="N7" i="8"/>
  <c r="O7" i="8" s="1"/>
  <c r="E7" i="8"/>
  <c r="F7" i="8" s="1"/>
  <c r="G5" i="8" s="1"/>
  <c r="H5" i="8" s="1"/>
  <c r="W6" i="8"/>
  <c r="X6" i="8" s="1"/>
  <c r="N6" i="8"/>
  <c r="O6" i="8" s="1"/>
  <c r="F6" i="8"/>
  <c r="E6" i="8"/>
  <c r="W5" i="8"/>
  <c r="X5" i="8" s="1"/>
  <c r="N5" i="8"/>
  <c r="O5" i="8" s="1"/>
  <c r="F5" i="8"/>
  <c r="E5" i="8"/>
  <c r="X4" i="8"/>
  <c r="W4" i="8"/>
  <c r="N4" i="8"/>
  <c r="O4" i="8" s="1"/>
  <c r="E4" i="8"/>
  <c r="F4" i="8" s="1"/>
  <c r="G2" i="8" s="1"/>
  <c r="H2" i="8" s="1"/>
  <c r="W3" i="8"/>
  <c r="X3" i="8" s="1"/>
  <c r="N3" i="8"/>
  <c r="O3" i="8" s="1"/>
  <c r="F3" i="8"/>
  <c r="E3" i="8"/>
  <c r="W2" i="8"/>
  <c r="X2" i="8" s="1"/>
  <c r="N2" i="8"/>
  <c r="O2" i="8" s="1"/>
  <c r="F2" i="8"/>
  <c r="E2" i="8"/>
  <c r="W22" i="7"/>
  <c r="X22" i="7" s="1"/>
  <c r="W21" i="7"/>
  <c r="X21" i="7" s="1"/>
  <c r="W20" i="7"/>
  <c r="X20" i="7" s="1"/>
  <c r="Y20" i="7" s="1"/>
  <c r="Z20" i="7" s="1"/>
  <c r="W19" i="7"/>
  <c r="X19" i="7" s="1"/>
  <c r="W18" i="7"/>
  <c r="X18" i="7" s="1"/>
  <c r="W17" i="7"/>
  <c r="X17" i="7" s="1"/>
  <c r="Y17" i="7" s="1"/>
  <c r="Z17" i="7" s="1"/>
  <c r="X16" i="7"/>
  <c r="W16" i="7"/>
  <c r="W15" i="7"/>
  <c r="X15" i="7" s="1"/>
  <c r="W14" i="7"/>
  <c r="X14" i="7" s="1"/>
  <c r="Y14" i="7" s="1"/>
  <c r="Z14" i="7" s="1"/>
  <c r="W13" i="7"/>
  <c r="X13" i="7" s="1"/>
  <c r="N13" i="7"/>
  <c r="O13" i="7" s="1"/>
  <c r="X12" i="7"/>
  <c r="W12" i="7"/>
  <c r="N12" i="7"/>
  <c r="O12" i="7" s="1"/>
  <c r="W11" i="7"/>
  <c r="X11" i="7" s="1"/>
  <c r="N11" i="7"/>
  <c r="O11" i="7" s="1"/>
  <c r="X10" i="7"/>
  <c r="W10" i="7"/>
  <c r="N10" i="7"/>
  <c r="O10" i="7" s="1"/>
  <c r="X9" i="7"/>
  <c r="W9" i="7"/>
  <c r="N9" i="7"/>
  <c r="O9" i="7" s="1"/>
  <c r="W8" i="7"/>
  <c r="X8" i="7" s="1"/>
  <c r="Y8" i="7" s="1"/>
  <c r="Z8" i="7" s="1"/>
  <c r="N8" i="7"/>
  <c r="O8" i="7" s="1"/>
  <c r="W7" i="7"/>
  <c r="X7" i="7" s="1"/>
  <c r="N7" i="7"/>
  <c r="O7" i="7" s="1"/>
  <c r="E7" i="7"/>
  <c r="F7" i="7" s="1"/>
  <c r="W6" i="7"/>
  <c r="X6" i="7" s="1"/>
  <c r="O6" i="7"/>
  <c r="N6" i="7"/>
  <c r="E6" i="7"/>
  <c r="F6" i="7" s="1"/>
  <c r="W5" i="7"/>
  <c r="X5" i="7" s="1"/>
  <c r="Y5" i="7" s="1"/>
  <c r="Z5" i="7" s="1"/>
  <c r="N5" i="7"/>
  <c r="O5" i="7" s="1"/>
  <c r="P5" i="7" s="1"/>
  <c r="Q5" i="7" s="1"/>
  <c r="E5" i="7"/>
  <c r="F5" i="7" s="1"/>
  <c r="G5" i="7" s="1"/>
  <c r="H5" i="7" s="1"/>
  <c r="W4" i="7"/>
  <c r="X4" i="7" s="1"/>
  <c r="N4" i="7"/>
  <c r="O4" i="7" s="1"/>
  <c r="E4" i="7"/>
  <c r="F4" i="7" s="1"/>
  <c r="W3" i="7"/>
  <c r="X3" i="7" s="1"/>
  <c r="O3" i="7"/>
  <c r="N3" i="7"/>
  <c r="E3" i="7"/>
  <c r="F3" i="7" s="1"/>
  <c r="W2" i="7"/>
  <c r="X2" i="7" s="1"/>
  <c r="N2" i="7"/>
  <c r="O2" i="7" s="1"/>
  <c r="P2" i="7" s="1"/>
  <c r="Q2" i="7" s="1"/>
  <c r="E2" i="7"/>
  <c r="F2" i="7" s="1"/>
  <c r="G2" i="7" s="1"/>
  <c r="H2" i="7" s="1"/>
  <c r="W22" i="6"/>
  <c r="X22" i="6" s="1"/>
  <c r="W21" i="6"/>
  <c r="X21" i="6" s="1"/>
  <c r="W20" i="6"/>
  <c r="X20" i="6" s="1"/>
  <c r="Y20" i="6" s="1"/>
  <c r="Z20" i="6" s="1"/>
  <c r="W19" i="6"/>
  <c r="X19" i="6" s="1"/>
  <c r="W18" i="6"/>
  <c r="X18" i="6" s="1"/>
  <c r="W17" i="6"/>
  <c r="X17" i="6" s="1"/>
  <c r="Y17" i="6" s="1"/>
  <c r="Z17" i="6" s="1"/>
  <c r="X16" i="6"/>
  <c r="W16" i="6"/>
  <c r="W15" i="6"/>
  <c r="X15" i="6" s="1"/>
  <c r="W14" i="6"/>
  <c r="X14" i="6" s="1"/>
  <c r="Y14" i="6" s="1"/>
  <c r="Z14" i="6" s="1"/>
  <c r="W13" i="6"/>
  <c r="X13" i="6" s="1"/>
  <c r="N13" i="6"/>
  <c r="O13" i="6" s="1"/>
  <c r="X12" i="6"/>
  <c r="W12" i="6"/>
  <c r="N12" i="6"/>
  <c r="O12" i="6" s="1"/>
  <c r="W11" i="6"/>
  <c r="X11" i="6" s="1"/>
  <c r="Y11" i="6" s="1"/>
  <c r="Z11" i="6" s="1"/>
  <c r="N11" i="6"/>
  <c r="O11" i="6" s="1"/>
  <c r="P11" i="6" s="1"/>
  <c r="Q11" i="6" s="1"/>
  <c r="X10" i="6"/>
  <c r="W10" i="6"/>
  <c r="N10" i="6"/>
  <c r="O10" i="6" s="1"/>
  <c r="W9" i="6"/>
  <c r="X9" i="6" s="1"/>
  <c r="N9" i="6"/>
  <c r="O9" i="6" s="1"/>
  <c r="W8" i="6"/>
  <c r="X8" i="6" s="1"/>
  <c r="Y8" i="6" s="1"/>
  <c r="Z8" i="6" s="1"/>
  <c r="N8" i="6"/>
  <c r="O8" i="6" s="1"/>
  <c r="P8" i="6" s="1"/>
  <c r="Q8" i="6" s="1"/>
  <c r="W7" i="6"/>
  <c r="X7" i="6" s="1"/>
  <c r="N7" i="6"/>
  <c r="O7" i="6" s="1"/>
  <c r="E7" i="6"/>
  <c r="F7" i="6" s="1"/>
  <c r="W6" i="6"/>
  <c r="X6" i="6" s="1"/>
  <c r="O6" i="6"/>
  <c r="N6" i="6"/>
  <c r="E6" i="6"/>
  <c r="F6" i="6" s="1"/>
  <c r="W5" i="6"/>
  <c r="X5" i="6" s="1"/>
  <c r="N5" i="6"/>
  <c r="O5" i="6" s="1"/>
  <c r="E5" i="6"/>
  <c r="F5" i="6" s="1"/>
  <c r="W4" i="6"/>
  <c r="X4" i="6" s="1"/>
  <c r="N4" i="6"/>
  <c r="O4" i="6" s="1"/>
  <c r="E4" i="6"/>
  <c r="F4" i="6" s="1"/>
  <c r="W3" i="6"/>
  <c r="X3" i="6" s="1"/>
  <c r="O3" i="6"/>
  <c r="N3" i="6"/>
  <c r="E3" i="6"/>
  <c r="F3" i="6" s="1"/>
  <c r="W2" i="6"/>
  <c r="X2" i="6" s="1"/>
  <c r="Y2" i="6" s="1"/>
  <c r="Z2" i="6" s="1"/>
  <c r="N2" i="6"/>
  <c r="O2" i="6" s="1"/>
  <c r="P2" i="6" s="1"/>
  <c r="Q2" i="6" s="1"/>
  <c r="E2" i="6"/>
  <c r="F2" i="6" s="1"/>
  <c r="W22" i="5"/>
  <c r="X22" i="5" s="1"/>
  <c r="W21" i="5"/>
  <c r="X21" i="5" s="1"/>
  <c r="X20" i="5"/>
  <c r="Y20" i="5" s="1"/>
  <c r="Z20" i="5" s="1"/>
  <c r="W20" i="5"/>
  <c r="W19" i="5"/>
  <c r="X19" i="5" s="1"/>
  <c r="W18" i="5"/>
  <c r="X18" i="5" s="1"/>
  <c r="W17" i="5"/>
  <c r="X17" i="5" s="1"/>
  <c r="X16" i="5"/>
  <c r="W16" i="5"/>
  <c r="X15" i="5"/>
  <c r="W15" i="5"/>
  <c r="W14" i="5"/>
  <c r="X14" i="5" s="1"/>
  <c r="Y14" i="5" s="1"/>
  <c r="Z14" i="5" s="1"/>
  <c r="W13" i="5"/>
  <c r="X13" i="5" s="1"/>
  <c r="N13" i="5"/>
  <c r="O13" i="5" s="1"/>
  <c r="X12" i="5"/>
  <c r="W12" i="5"/>
  <c r="O12" i="5"/>
  <c r="N12" i="5"/>
  <c r="W11" i="5"/>
  <c r="X11" i="5" s="1"/>
  <c r="Y11" i="5" s="1"/>
  <c r="Z11" i="5" s="1"/>
  <c r="N11" i="5"/>
  <c r="O11" i="5" s="1"/>
  <c r="P11" i="5" s="1"/>
  <c r="Q11" i="5" s="1"/>
  <c r="X10" i="5"/>
  <c r="W10" i="5"/>
  <c r="O10" i="5"/>
  <c r="N10" i="5"/>
  <c r="W9" i="5"/>
  <c r="X9" i="5" s="1"/>
  <c r="N9" i="5"/>
  <c r="O9" i="5" s="1"/>
  <c r="W8" i="5"/>
  <c r="X8" i="5" s="1"/>
  <c r="Y8" i="5" s="1"/>
  <c r="Z8" i="5" s="1"/>
  <c r="O8" i="5"/>
  <c r="P8" i="5" s="1"/>
  <c r="Q8" i="5" s="1"/>
  <c r="N8" i="5"/>
  <c r="W7" i="5"/>
  <c r="X7" i="5" s="1"/>
  <c r="N7" i="5"/>
  <c r="O7" i="5" s="1"/>
  <c r="E7" i="5"/>
  <c r="F7" i="5" s="1"/>
  <c r="W6" i="5"/>
  <c r="X6" i="5" s="1"/>
  <c r="O6" i="5"/>
  <c r="N6" i="5"/>
  <c r="F6" i="5"/>
  <c r="E6" i="5"/>
  <c r="W5" i="5"/>
  <c r="X5" i="5" s="1"/>
  <c r="N5" i="5"/>
  <c r="O5" i="5" s="1"/>
  <c r="F5" i="5"/>
  <c r="E5" i="5"/>
  <c r="W4" i="5"/>
  <c r="X4" i="5" s="1"/>
  <c r="N4" i="5"/>
  <c r="O4" i="5" s="1"/>
  <c r="E4" i="5"/>
  <c r="F4" i="5" s="1"/>
  <c r="W3" i="5"/>
  <c r="X3" i="5" s="1"/>
  <c r="O3" i="5"/>
  <c r="N3" i="5"/>
  <c r="F3" i="5"/>
  <c r="E3" i="5"/>
  <c r="W2" i="5"/>
  <c r="X2" i="5" s="1"/>
  <c r="N2" i="5"/>
  <c r="O2" i="5" s="1"/>
  <c r="F2" i="5"/>
  <c r="E2" i="5"/>
  <c r="W22" i="4"/>
  <c r="X22" i="4" s="1"/>
  <c r="X21" i="4"/>
  <c r="W21" i="4"/>
  <c r="W20" i="4"/>
  <c r="X20" i="4" s="1"/>
  <c r="Y20" i="4" s="1"/>
  <c r="Z20" i="4" s="1"/>
  <c r="X19" i="4"/>
  <c r="W19" i="4"/>
  <c r="W18" i="4"/>
  <c r="X18" i="4" s="1"/>
  <c r="X17" i="4"/>
  <c r="W17" i="4"/>
  <c r="W16" i="4"/>
  <c r="X16" i="4" s="1"/>
  <c r="W15" i="4"/>
  <c r="X15" i="4" s="1"/>
  <c r="W14" i="4"/>
  <c r="X14" i="4" s="1"/>
  <c r="Y14" i="4" s="1"/>
  <c r="Z14" i="4" s="1"/>
  <c r="W13" i="4"/>
  <c r="X13" i="4" s="1"/>
  <c r="O13" i="4"/>
  <c r="N13" i="4"/>
  <c r="W12" i="4"/>
  <c r="X12" i="4" s="1"/>
  <c r="N12" i="4"/>
  <c r="O12" i="4" s="1"/>
  <c r="W11" i="4"/>
  <c r="X11" i="4" s="1"/>
  <c r="Y11" i="4" s="1"/>
  <c r="Z11" i="4" s="1"/>
  <c r="O11" i="4"/>
  <c r="P11" i="4" s="1"/>
  <c r="Q11" i="4" s="1"/>
  <c r="N11" i="4"/>
  <c r="W10" i="4"/>
  <c r="X10" i="4" s="1"/>
  <c r="N10" i="4"/>
  <c r="O10" i="4" s="1"/>
  <c r="W9" i="4"/>
  <c r="X9" i="4" s="1"/>
  <c r="N9" i="4"/>
  <c r="O9" i="4" s="1"/>
  <c r="X8" i="4"/>
  <c r="W8" i="4"/>
  <c r="N8" i="4"/>
  <c r="O8" i="4" s="1"/>
  <c r="W7" i="4"/>
  <c r="X7" i="4" s="1"/>
  <c r="N7" i="4"/>
  <c r="O7" i="4" s="1"/>
  <c r="E7" i="4"/>
  <c r="F7" i="4" s="1"/>
  <c r="X6" i="4"/>
  <c r="W6" i="4"/>
  <c r="N6" i="4"/>
  <c r="O6" i="4" s="1"/>
  <c r="P5" i="4" s="1"/>
  <c r="Q5" i="4" s="1"/>
  <c r="E6" i="4"/>
  <c r="F6" i="4" s="1"/>
  <c r="W5" i="4"/>
  <c r="X5" i="4" s="1"/>
  <c r="Y5" i="4" s="1"/>
  <c r="Z5" i="4" s="1"/>
  <c r="O5" i="4"/>
  <c r="N5" i="4"/>
  <c r="E5" i="4"/>
  <c r="F5" i="4" s="1"/>
  <c r="W4" i="4"/>
  <c r="X4" i="4" s="1"/>
  <c r="N4" i="4"/>
  <c r="O4" i="4" s="1"/>
  <c r="E4" i="4"/>
  <c r="F4" i="4" s="1"/>
  <c r="X3" i="4"/>
  <c r="W3" i="4"/>
  <c r="N3" i="4"/>
  <c r="O3" i="4" s="1"/>
  <c r="P2" i="4" s="1"/>
  <c r="Q2" i="4" s="1"/>
  <c r="E3" i="4"/>
  <c r="F3" i="4" s="1"/>
  <c r="W2" i="4"/>
  <c r="X2" i="4" s="1"/>
  <c r="Y2" i="4" s="1"/>
  <c r="Z2" i="4" s="1"/>
  <c r="O2" i="4"/>
  <c r="N2" i="4"/>
  <c r="E2" i="4"/>
  <c r="F2" i="4" s="1"/>
  <c r="W20" i="2"/>
  <c r="X20" i="2" s="1"/>
  <c r="W21" i="2"/>
  <c r="X21" i="2" s="1"/>
  <c r="W22" i="2"/>
  <c r="X22" i="2" s="1"/>
  <c r="Y2" i="8" l="1"/>
  <c r="Z2" i="8" s="1"/>
  <c r="Y14" i="8"/>
  <c r="Z14" i="8" s="1"/>
  <c r="Y5" i="8"/>
  <c r="Z5" i="8" s="1"/>
  <c r="Y11" i="8"/>
  <c r="Z11" i="8" s="1"/>
  <c r="P2" i="8"/>
  <c r="Q2" i="8" s="1"/>
  <c r="P5" i="8"/>
  <c r="Q5" i="8" s="1"/>
  <c r="Y8" i="8"/>
  <c r="Z8" i="8" s="1"/>
  <c r="Y2" i="7"/>
  <c r="Z2" i="7" s="1"/>
  <c r="Y11" i="7"/>
  <c r="Z11" i="7" s="1"/>
  <c r="P11" i="7"/>
  <c r="Q11" i="7" s="1"/>
  <c r="P8" i="7"/>
  <c r="Q8" i="7" s="1"/>
  <c r="G5" i="6"/>
  <c r="H5" i="6" s="1"/>
  <c r="P5" i="6"/>
  <c r="Q5" i="6" s="1"/>
  <c r="G2" i="6"/>
  <c r="H2" i="6" s="1"/>
  <c r="Y5" i="6"/>
  <c r="Z5" i="6" s="1"/>
  <c r="Y17" i="5"/>
  <c r="Z17" i="5" s="1"/>
  <c r="G2" i="5"/>
  <c r="H2" i="5" s="1"/>
  <c r="G5" i="5"/>
  <c r="H5" i="5" s="1"/>
  <c r="P2" i="5"/>
  <c r="Q2" i="5" s="1"/>
  <c r="P5" i="5"/>
  <c r="Q5" i="5" s="1"/>
  <c r="Y2" i="5"/>
  <c r="Z2" i="5" s="1"/>
  <c r="Y5" i="5"/>
  <c r="Z5" i="5" s="1"/>
  <c r="Y17" i="4"/>
  <c r="Z17" i="4" s="1"/>
  <c r="P8" i="4"/>
  <c r="Q8" i="4" s="1"/>
  <c r="G5" i="4"/>
  <c r="H5" i="4" s="1"/>
  <c r="G2" i="4"/>
  <c r="H2" i="4" s="1"/>
  <c r="Y8" i="4"/>
  <c r="Z8" i="4" s="1"/>
  <c r="Y20" i="2"/>
  <c r="Z20" i="2" s="1"/>
  <c r="F5" i="3"/>
  <c r="G5" i="3" s="1"/>
  <c r="E5" i="3"/>
  <c r="F4" i="3"/>
  <c r="G4" i="3" s="1"/>
  <c r="E4" i="3"/>
  <c r="F3" i="3"/>
  <c r="G3" i="3" s="1"/>
  <c r="E3" i="3"/>
  <c r="F2" i="3"/>
  <c r="G2" i="3" s="1"/>
  <c r="E2" i="3"/>
  <c r="W19" i="2" l="1"/>
  <c r="X19" i="2" s="1"/>
  <c r="W18" i="2"/>
  <c r="X18" i="2" s="1"/>
  <c r="W17" i="2"/>
  <c r="X17" i="2" s="1"/>
  <c r="W16" i="2"/>
  <c r="X16" i="2" s="1"/>
  <c r="W15" i="2"/>
  <c r="X15" i="2" s="1"/>
  <c r="W14" i="2"/>
  <c r="X14" i="2" s="1"/>
  <c r="W13" i="2"/>
  <c r="X13" i="2" s="1"/>
  <c r="W12" i="2"/>
  <c r="X12" i="2" s="1"/>
  <c r="W11" i="2"/>
  <c r="X11" i="2" s="1"/>
  <c r="W10" i="2"/>
  <c r="X10" i="2" s="1"/>
  <c r="W9" i="2"/>
  <c r="X9" i="2" s="1"/>
  <c r="W8" i="2"/>
  <c r="X8" i="2" s="1"/>
  <c r="W7" i="2"/>
  <c r="X7" i="2" s="1"/>
  <c r="W6" i="2"/>
  <c r="X6" i="2" s="1"/>
  <c r="W5" i="2"/>
  <c r="X5" i="2" s="1"/>
  <c r="Y5" i="2" s="1"/>
  <c r="Z5" i="2" s="1"/>
  <c r="W4" i="2"/>
  <c r="X4" i="2" s="1"/>
  <c r="W3" i="2"/>
  <c r="X3" i="2" s="1"/>
  <c r="W2" i="2"/>
  <c r="X2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O5" i="2" s="1"/>
  <c r="N4" i="2"/>
  <c r="O4" i="2" s="1"/>
  <c r="N3" i="2"/>
  <c r="O3" i="2" s="1"/>
  <c r="N2" i="2"/>
  <c r="O2" i="2" s="1"/>
  <c r="E7" i="2"/>
  <c r="F7" i="2" s="1"/>
  <c r="E6" i="2"/>
  <c r="F6" i="2" s="1"/>
  <c r="E5" i="2"/>
  <c r="F5" i="2" s="1"/>
  <c r="E4" i="2"/>
  <c r="F4" i="2" s="1"/>
  <c r="E3" i="2"/>
  <c r="F3" i="2" s="1"/>
  <c r="E2" i="2"/>
  <c r="F2" i="2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  <c r="Y17" i="2" l="1"/>
  <c r="Z17" i="2" s="1"/>
  <c r="Y8" i="2"/>
  <c r="Z8" i="2" s="1"/>
  <c r="P2" i="2"/>
  <c r="Q2" i="2" s="1"/>
  <c r="G2" i="2"/>
  <c r="H2" i="2" s="1"/>
  <c r="G8" i="1"/>
  <c r="H8" i="1" s="1"/>
  <c r="G20" i="1"/>
  <c r="H20" i="1" s="1"/>
  <c r="G5" i="1"/>
  <c r="H5" i="1" s="1"/>
  <c r="G17" i="1"/>
  <c r="H17" i="1" s="1"/>
  <c r="P11" i="2"/>
  <c r="Q11" i="2" s="1"/>
  <c r="Y2" i="2"/>
  <c r="Z2" i="2" s="1"/>
  <c r="Y14" i="2"/>
  <c r="Z14" i="2" s="1"/>
  <c r="Y11" i="2"/>
  <c r="Z11" i="2" s="1"/>
  <c r="P8" i="2"/>
  <c r="Q8" i="2" s="1"/>
  <c r="P5" i="2"/>
  <c r="Q5" i="2" s="1"/>
  <c r="G5" i="2"/>
  <c r="H5" i="2" s="1"/>
  <c r="G2" i="1"/>
  <c r="H2" i="1" s="1"/>
  <c r="G14" i="1"/>
  <c r="H14" i="1" s="1"/>
  <c r="G11" i="1"/>
  <c r="H11" i="1" s="1"/>
  <c r="G23" i="1"/>
  <c r="H23" i="1" s="1"/>
</calcChain>
</file>

<file path=xl/sharedStrings.xml><?xml version="1.0" encoding="utf-8"?>
<sst xmlns="http://schemas.openxmlformats.org/spreadsheetml/2006/main" count="529" uniqueCount="47">
  <si>
    <t>STRUCTURAL ELEMENT</t>
  </si>
  <si>
    <t>TRIALS</t>
  </si>
  <si>
    <t xml:space="preserve">TRANSMISSION TIME (µs) </t>
  </si>
  <si>
    <t>PATH LENGTH (mm)</t>
  </si>
  <si>
    <t>VELOCITY (Km/s)</t>
  </si>
  <si>
    <t>EQUIVALENT COMPRESSIVE STRENGTH (E.C.S)</t>
  </si>
  <si>
    <t>REMARK</t>
  </si>
  <si>
    <t>C1</t>
  </si>
  <si>
    <t>A</t>
  </si>
  <si>
    <t>B</t>
  </si>
  <si>
    <t>C</t>
  </si>
  <si>
    <t>C2</t>
  </si>
  <si>
    <t>C3</t>
  </si>
  <si>
    <t>C4</t>
  </si>
  <si>
    <t>C5</t>
  </si>
  <si>
    <t>C6</t>
  </si>
  <si>
    <t>C7</t>
  </si>
  <si>
    <t>C8</t>
  </si>
  <si>
    <t>B1</t>
  </si>
  <si>
    <t>B2</t>
  </si>
  <si>
    <t>B3</t>
  </si>
  <si>
    <t>B4</t>
  </si>
  <si>
    <t>S1</t>
  </si>
  <si>
    <t>S2</t>
  </si>
  <si>
    <t>S3</t>
  </si>
  <si>
    <t>S4</t>
  </si>
  <si>
    <t>S5</t>
  </si>
  <si>
    <t>S6</t>
  </si>
  <si>
    <t>Floors</t>
  </si>
  <si>
    <t>Elements</t>
  </si>
  <si>
    <t>Total number tested</t>
  </si>
  <si>
    <t>Number of good</t>
  </si>
  <si>
    <t>Number of poor</t>
  </si>
  <si>
    <t>Percentage poor (%)</t>
  </si>
  <si>
    <t>GROUND FLOOR</t>
  </si>
  <si>
    <t>FIRST FLOOR</t>
  </si>
  <si>
    <t>S7</t>
  </si>
  <si>
    <t>Column</t>
  </si>
  <si>
    <t>Beam</t>
  </si>
  <si>
    <t>Slab</t>
  </si>
  <si>
    <r>
      <t>AVERAGE (E.C.S) (N/mm</t>
    </r>
    <r>
      <rPr>
        <b/>
        <sz val="11"/>
        <color theme="1"/>
        <rFont val="Calibri"/>
        <family val="2"/>
      </rPr>
      <t>²</t>
    </r>
    <r>
      <rPr>
        <b/>
        <sz val="11"/>
        <color theme="1"/>
        <rFont val="Calibri"/>
        <family val="2"/>
        <scheme val="minor"/>
      </rPr>
      <t>)</t>
    </r>
  </si>
  <si>
    <t>Percentage good (%)</t>
  </si>
  <si>
    <t>SECOND FLOOR</t>
  </si>
  <si>
    <t>THIRD FLOOR</t>
  </si>
  <si>
    <t>FOURTH FLOOR</t>
  </si>
  <si>
    <t>FIFTH FLOOR</t>
  </si>
  <si>
    <t>SIXTH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</si>
</sst>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 vertical="center"/>
    </xf>
    <xf numFmtId="2" fontId="0" fillId="0" borderId="0" xfId="0" quotePrefix="1" applyNumberFormat="1" applyAlignment="1">
      <alignment horizontal="center" vertical="center" wrapText="1"/>
    </xf>
    <xf numFmtId="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3" xfId="0" quotePrefix="1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800" b="0" i="0" baseline="0">
                <a:effectLst/>
              </a:rPr>
              <a:t>Bar chart showing the structural elements tested</a:t>
            </a:r>
            <a:endParaRPr lang="en-GB" sz="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Summary!$D$1</c:f>
              <c:strCache>
                <c:ptCount val="1"/>
                <c:pt idx="0">
                  <c:v>Number of good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Summary!$A$2:$B$20</c:f>
              <c:multiLvlStrCache>
                <c:ptCount val="19"/>
                <c:lvl>
                  <c:pt idx="0">
                    <c:v>Column</c:v>
                  </c:pt>
                  <c:pt idx="1">
                    <c:v>Column</c:v>
                  </c:pt>
                  <c:pt idx="2">
                    <c:v>Beam</c:v>
                  </c:pt>
                  <c:pt idx="3">
                    <c:v>Slab</c:v>
                  </c:pt>
                  <c:pt idx="4">
                    <c:v>Column</c:v>
                  </c:pt>
                  <c:pt idx="5">
                    <c:v>Beam</c:v>
                  </c:pt>
                  <c:pt idx="6">
                    <c:v>Slab</c:v>
                  </c:pt>
                  <c:pt idx="7">
                    <c:v>Column</c:v>
                  </c:pt>
                  <c:pt idx="8">
                    <c:v>Beam</c:v>
                  </c:pt>
                  <c:pt idx="9">
                    <c:v>Slab</c:v>
                  </c:pt>
                  <c:pt idx="10">
                    <c:v>Column</c:v>
                  </c:pt>
                  <c:pt idx="11">
                    <c:v>Beam</c:v>
                  </c:pt>
                  <c:pt idx="12">
                    <c:v>Slab</c:v>
                  </c:pt>
                  <c:pt idx="13">
                    <c:v>Column</c:v>
                  </c:pt>
                  <c:pt idx="14">
                    <c:v>Beam</c:v>
                  </c:pt>
                  <c:pt idx="15">
                    <c:v>Slab</c:v>
                  </c:pt>
                  <c:pt idx="16">
                    <c:v>Column</c:v>
                  </c:pt>
                  <c:pt idx="17">
                    <c:v>Beam</c:v>
                  </c:pt>
                  <c:pt idx="18">
                    <c:v>Slab</c:v>
                  </c:pt>
                </c:lvl>
                <c:lvl>
                  <c:pt idx="0">
                    <c:v>GROUND FLOOR</c:v>
                  </c:pt>
                  <c:pt idx="1">
                    <c:v>FIRST FLOOR</c:v>
                  </c:pt>
                  <c:pt idx="4">
                    <c:v>SECOND FLOOR</c:v>
                  </c:pt>
                  <c:pt idx="7">
                    <c:v>THIRD FLOOR</c:v>
                  </c:pt>
                  <c:pt idx="10">
                    <c:v>FOURTH FLOOR</c:v>
                  </c:pt>
                  <c:pt idx="13">
                    <c:v>FIFTH FLOOR</c:v>
                  </c:pt>
                  <c:pt idx="16">
                    <c:v>SIXTH FLOOR</c:v>
                  </c:pt>
                </c:lvl>
              </c:multiLvlStrCache>
            </c:multiLvlStrRef>
          </c:cat>
          <c:val>
            <c:numRef>
              <c:f>Summary!$D$2:$D$20</c:f>
              <c:numCache>
                <c:formatCode>0</c:formatCode>
                <c:ptCount val="19"/>
                <c:pt idx="0">
                  <c:v>8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9.3333333333333304</c:v>
                </c:pt>
                <c:pt idx="5">
                  <c:v>11.8333333333333</c:v>
                </c:pt>
                <c:pt idx="6">
                  <c:v>14.3333333333333</c:v>
                </c:pt>
                <c:pt idx="7">
                  <c:v>16.8333333333333</c:v>
                </c:pt>
                <c:pt idx="8">
                  <c:v>19.3333333333333</c:v>
                </c:pt>
                <c:pt idx="9">
                  <c:v>21.8333333333333</c:v>
                </c:pt>
                <c:pt idx="10">
                  <c:v>24.3333333333333</c:v>
                </c:pt>
                <c:pt idx="11">
                  <c:v>26.8333333333333</c:v>
                </c:pt>
                <c:pt idx="12">
                  <c:v>29.3333333333333</c:v>
                </c:pt>
                <c:pt idx="13">
                  <c:v>31.8333333333333</c:v>
                </c:pt>
                <c:pt idx="14">
                  <c:v>34.3333333333333</c:v>
                </c:pt>
                <c:pt idx="15">
                  <c:v>36.8333333333333</c:v>
                </c:pt>
                <c:pt idx="16">
                  <c:v>39.3333333333333</c:v>
                </c:pt>
                <c:pt idx="17">
                  <c:v>41.8333333333333</c:v>
                </c:pt>
                <c:pt idx="18">
                  <c:v>44.3333333333333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F-4B16-8965-95E4240B2F30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Number of 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f>Summary!$A$2:$B$20</c:f>
              <c:multiLvlStrCache>
                <c:ptCount val="19"/>
                <c:lvl>
                  <c:pt idx="0">
                    <c:v>Column</c:v>
                  </c:pt>
                  <c:pt idx="1">
                    <c:v>Column</c:v>
                  </c:pt>
                  <c:pt idx="2">
                    <c:v>Beam</c:v>
                  </c:pt>
                  <c:pt idx="3">
                    <c:v>Slab</c:v>
                  </c:pt>
                  <c:pt idx="4">
                    <c:v>Column</c:v>
                  </c:pt>
                  <c:pt idx="5">
                    <c:v>Beam</c:v>
                  </c:pt>
                  <c:pt idx="6">
                    <c:v>Slab</c:v>
                  </c:pt>
                  <c:pt idx="7">
                    <c:v>Column</c:v>
                  </c:pt>
                  <c:pt idx="8">
                    <c:v>Beam</c:v>
                  </c:pt>
                  <c:pt idx="9">
                    <c:v>Slab</c:v>
                  </c:pt>
                  <c:pt idx="10">
                    <c:v>Column</c:v>
                  </c:pt>
                  <c:pt idx="11">
                    <c:v>Beam</c:v>
                  </c:pt>
                  <c:pt idx="12">
                    <c:v>Slab</c:v>
                  </c:pt>
                  <c:pt idx="13">
                    <c:v>Column</c:v>
                  </c:pt>
                  <c:pt idx="14">
                    <c:v>Beam</c:v>
                  </c:pt>
                  <c:pt idx="15">
                    <c:v>Slab</c:v>
                  </c:pt>
                  <c:pt idx="16">
                    <c:v>Column</c:v>
                  </c:pt>
                  <c:pt idx="17">
                    <c:v>Beam</c:v>
                  </c:pt>
                  <c:pt idx="18">
                    <c:v>Slab</c:v>
                  </c:pt>
                </c:lvl>
                <c:lvl>
                  <c:pt idx="0">
                    <c:v>GROUND FLOOR</c:v>
                  </c:pt>
                  <c:pt idx="1">
                    <c:v>FIRST FLOOR</c:v>
                  </c:pt>
                  <c:pt idx="4">
                    <c:v>SECOND FLOOR</c:v>
                  </c:pt>
                  <c:pt idx="7">
                    <c:v>THIRD FLOOR</c:v>
                  </c:pt>
                  <c:pt idx="10">
                    <c:v>FOURTH FLOOR</c:v>
                  </c:pt>
                  <c:pt idx="13">
                    <c:v>FIFTH FLOOR</c:v>
                  </c:pt>
                  <c:pt idx="16">
                    <c:v>SIXTH FLOOR</c:v>
                  </c:pt>
                </c:lvl>
              </c:multiLvlStrCache>
            </c:multiLvlStrRef>
          </c:cat>
          <c:val>
            <c:numRef>
              <c:f>Summary!$E$2:$E$20</c:f>
              <c:numCache>
                <c:formatCode>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3F-4B16-8965-95E4240B2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4618816"/>
        <c:axId val="874624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Summary!$C$1</c15:sqref>
                        </c15:formulaRef>
                      </c:ext>
                    </c:extLst>
                    <c:strCache>
                      <c:ptCount val="1"/>
                      <c:pt idx="0">
                        <c:v>Total number tested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Summary!$A$2:$B$20</c15:sqref>
                        </c15:formulaRef>
                      </c:ext>
                    </c:extLst>
                    <c:multiLvlStrCache>
                      <c:ptCount val="19"/>
                      <c:lvl>
                        <c:pt idx="0">
                          <c:v>Column</c:v>
                        </c:pt>
                        <c:pt idx="1">
                          <c:v>Column</c:v>
                        </c:pt>
                        <c:pt idx="2">
                          <c:v>Beam</c:v>
                        </c:pt>
                        <c:pt idx="3">
                          <c:v>Slab</c:v>
                        </c:pt>
                        <c:pt idx="4">
                          <c:v>Column</c:v>
                        </c:pt>
                        <c:pt idx="5">
                          <c:v>Beam</c:v>
                        </c:pt>
                        <c:pt idx="6">
                          <c:v>Slab</c:v>
                        </c:pt>
                        <c:pt idx="7">
                          <c:v>Column</c:v>
                        </c:pt>
                        <c:pt idx="8">
                          <c:v>Beam</c:v>
                        </c:pt>
                        <c:pt idx="9">
                          <c:v>Slab</c:v>
                        </c:pt>
                        <c:pt idx="10">
                          <c:v>Column</c:v>
                        </c:pt>
                        <c:pt idx="11">
                          <c:v>Beam</c:v>
                        </c:pt>
                        <c:pt idx="12">
                          <c:v>Slab</c:v>
                        </c:pt>
                        <c:pt idx="13">
                          <c:v>Column</c:v>
                        </c:pt>
                        <c:pt idx="14">
                          <c:v>Beam</c:v>
                        </c:pt>
                        <c:pt idx="15">
                          <c:v>Slab</c:v>
                        </c:pt>
                        <c:pt idx="16">
                          <c:v>Column</c:v>
                        </c:pt>
                        <c:pt idx="17">
                          <c:v>Beam</c:v>
                        </c:pt>
                        <c:pt idx="18">
                          <c:v>Slab</c:v>
                        </c:pt>
                      </c:lvl>
                      <c:lvl>
                        <c:pt idx="0">
                          <c:v>GROUND FLOOR</c:v>
                        </c:pt>
                        <c:pt idx="1">
                          <c:v>FIRST FLOOR</c:v>
                        </c:pt>
                        <c:pt idx="4">
                          <c:v>SECOND FLOOR</c:v>
                        </c:pt>
                        <c:pt idx="7">
                          <c:v>THIRD FLOOR</c:v>
                        </c:pt>
                        <c:pt idx="10">
                          <c:v>FOURTH FLOOR</c:v>
                        </c:pt>
                        <c:pt idx="13">
                          <c:v>FIFTH FLOOR</c:v>
                        </c:pt>
                        <c:pt idx="16">
                          <c:v>SIXTH FLOOR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Summary!$C$2:$C$20</c15:sqref>
                        </c15:formulaRef>
                      </c:ext>
                    </c:extLst>
                    <c:numCache>
                      <c:formatCode>0</c:formatCode>
                      <c:ptCount val="19"/>
                      <c:pt idx="0">
                        <c:v>8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7</c:v>
                      </c:pt>
                      <c:pt idx="4">
                        <c:v>9.3333333333333304</c:v>
                      </c:pt>
                      <c:pt idx="5">
                        <c:v>11.8333333333333</c:v>
                      </c:pt>
                      <c:pt idx="6">
                        <c:v>14.3333333333333</c:v>
                      </c:pt>
                      <c:pt idx="7">
                        <c:v>16.8333333333333</c:v>
                      </c:pt>
                      <c:pt idx="8">
                        <c:v>19.3333333333333</c:v>
                      </c:pt>
                      <c:pt idx="9">
                        <c:v>21.8333333333333</c:v>
                      </c:pt>
                      <c:pt idx="10">
                        <c:v>24.3333333333333</c:v>
                      </c:pt>
                      <c:pt idx="11">
                        <c:v>26.8333333333333</c:v>
                      </c:pt>
                      <c:pt idx="12">
                        <c:v>29.3333333333333</c:v>
                      </c:pt>
                      <c:pt idx="13">
                        <c:v>31.8333333333333</c:v>
                      </c:pt>
                      <c:pt idx="14">
                        <c:v>34.3333333333333</c:v>
                      </c:pt>
                      <c:pt idx="15">
                        <c:v>36.8333333333333</c:v>
                      </c:pt>
                      <c:pt idx="16">
                        <c:v>39.3333333333333</c:v>
                      </c:pt>
                      <c:pt idx="17">
                        <c:v>41.8333333333333</c:v>
                      </c:pt>
                      <c:pt idx="18">
                        <c:v>44.3333333333333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63F-4B16-8965-95E4240B2F3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Summary!$F$1</c15:sqref>
                        </c15:formulaRef>
                      </c:ext>
                    </c:extLst>
                    <c:strCache>
                      <c:ptCount val="1"/>
                      <c:pt idx="0">
                        <c:v>Percentage good (%)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Summary!$A$2:$B$20</c15:sqref>
                        </c15:formulaRef>
                      </c:ext>
                    </c:extLst>
                    <c:multiLvlStrCache>
                      <c:ptCount val="19"/>
                      <c:lvl>
                        <c:pt idx="0">
                          <c:v>Column</c:v>
                        </c:pt>
                        <c:pt idx="1">
                          <c:v>Column</c:v>
                        </c:pt>
                        <c:pt idx="2">
                          <c:v>Beam</c:v>
                        </c:pt>
                        <c:pt idx="3">
                          <c:v>Slab</c:v>
                        </c:pt>
                        <c:pt idx="4">
                          <c:v>Column</c:v>
                        </c:pt>
                        <c:pt idx="5">
                          <c:v>Beam</c:v>
                        </c:pt>
                        <c:pt idx="6">
                          <c:v>Slab</c:v>
                        </c:pt>
                        <c:pt idx="7">
                          <c:v>Column</c:v>
                        </c:pt>
                        <c:pt idx="8">
                          <c:v>Beam</c:v>
                        </c:pt>
                        <c:pt idx="9">
                          <c:v>Slab</c:v>
                        </c:pt>
                        <c:pt idx="10">
                          <c:v>Column</c:v>
                        </c:pt>
                        <c:pt idx="11">
                          <c:v>Beam</c:v>
                        </c:pt>
                        <c:pt idx="12">
                          <c:v>Slab</c:v>
                        </c:pt>
                        <c:pt idx="13">
                          <c:v>Column</c:v>
                        </c:pt>
                        <c:pt idx="14">
                          <c:v>Beam</c:v>
                        </c:pt>
                        <c:pt idx="15">
                          <c:v>Slab</c:v>
                        </c:pt>
                        <c:pt idx="16">
                          <c:v>Column</c:v>
                        </c:pt>
                        <c:pt idx="17">
                          <c:v>Beam</c:v>
                        </c:pt>
                        <c:pt idx="18">
                          <c:v>Slab</c:v>
                        </c:pt>
                      </c:lvl>
                      <c:lvl>
                        <c:pt idx="0">
                          <c:v>GROUND FLOOR</c:v>
                        </c:pt>
                        <c:pt idx="1">
                          <c:v>FIRST FLOOR</c:v>
                        </c:pt>
                        <c:pt idx="4">
                          <c:v>SECOND FLOOR</c:v>
                        </c:pt>
                        <c:pt idx="7">
                          <c:v>THIRD FLOOR</c:v>
                        </c:pt>
                        <c:pt idx="10">
                          <c:v>FOURTH FLOOR</c:v>
                        </c:pt>
                        <c:pt idx="13">
                          <c:v>FIFTH FLOOR</c:v>
                        </c:pt>
                        <c:pt idx="16">
                          <c:v>SIXTH FLOOR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Summary!$F$2:$F$20</c15:sqref>
                        </c15:formulaRef>
                      </c:ext>
                    </c:extLst>
                    <c:numCache>
                      <c:formatCode>0</c:formatCode>
                      <c:ptCount val="19"/>
                      <c:pt idx="0">
                        <c:v>100</c:v>
                      </c:pt>
                      <c:pt idx="1">
                        <c:v>100</c:v>
                      </c:pt>
                      <c:pt idx="2">
                        <c:v>100</c:v>
                      </c:pt>
                      <c:pt idx="3">
                        <c:v>100</c:v>
                      </c:pt>
                      <c:pt idx="4">
                        <c:v>100</c:v>
                      </c:pt>
                      <c:pt idx="5">
                        <c:v>100</c:v>
                      </c:pt>
                      <c:pt idx="6">
                        <c:v>100</c:v>
                      </c:pt>
                      <c:pt idx="7">
                        <c:v>100</c:v>
                      </c:pt>
                      <c:pt idx="8">
                        <c:v>100</c:v>
                      </c:pt>
                      <c:pt idx="9">
                        <c:v>99.999999999999986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  <c:pt idx="14">
                        <c:v>100</c:v>
                      </c:pt>
                      <c:pt idx="15">
                        <c:v>100</c:v>
                      </c:pt>
                      <c:pt idx="16">
                        <c:v>100</c:v>
                      </c:pt>
                      <c:pt idx="17">
                        <c:v>100</c:v>
                      </c:pt>
                      <c:pt idx="18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63F-4B16-8965-95E4240B2F3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Summary!$G$1</c15:sqref>
                        </c15:formulaRef>
                      </c:ext>
                    </c:extLst>
                    <c:strCache>
                      <c:ptCount val="1"/>
                      <c:pt idx="0">
                        <c:v>Percentage poor (%)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Summary!$A$2:$B$20</c15:sqref>
                        </c15:formulaRef>
                      </c:ext>
                    </c:extLst>
                    <c:multiLvlStrCache>
                      <c:ptCount val="19"/>
                      <c:lvl>
                        <c:pt idx="0">
                          <c:v>Column</c:v>
                        </c:pt>
                        <c:pt idx="1">
                          <c:v>Column</c:v>
                        </c:pt>
                        <c:pt idx="2">
                          <c:v>Beam</c:v>
                        </c:pt>
                        <c:pt idx="3">
                          <c:v>Slab</c:v>
                        </c:pt>
                        <c:pt idx="4">
                          <c:v>Column</c:v>
                        </c:pt>
                        <c:pt idx="5">
                          <c:v>Beam</c:v>
                        </c:pt>
                        <c:pt idx="6">
                          <c:v>Slab</c:v>
                        </c:pt>
                        <c:pt idx="7">
                          <c:v>Column</c:v>
                        </c:pt>
                        <c:pt idx="8">
                          <c:v>Beam</c:v>
                        </c:pt>
                        <c:pt idx="9">
                          <c:v>Slab</c:v>
                        </c:pt>
                        <c:pt idx="10">
                          <c:v>Column</c:v>
                        </c:pt>
                        <c:pt idx="11">
                          <c:v>Beam</c:v>
                        </c:pt>
                        <c:pt idx="12">
                          <c:v>Slab</c:v>
                        </c:pt>
                        <c:pt idx="13">
                          <c:v>Column</c:v>
                        </c:pt>
                        <c:pt idx="14">
                          <c:v>Beam</c:v>
                        </c:pt>
                        <c:pt idx="15">
                          <c:v>Slab</c:v>
                        </c:pt>
                        <c:pt idx="16">
                          <c:v>Column</c:v>
                        </c:pt>
                        <c:pt idx="17">
                          <c:v>Beam</c:v>
                        </c:pt>
                        <c:pt idx="18">
                          <c:v>Slab</c:v>
                        </c:pt>
                      </c:lvl>
                      <c:lvl>
                        <c:pt idx="0">
                          <c:v>GROUND FLOOR</c:v>
                        </c:pt>
                        <c:pt idx="1">
                          <c:v>FIRST FLOOR</c:v>
                        </c:pt>
                        <c:pt idx="4">
                          <c:v>SECOND FLOOR</c:v>
                        </c:pt>
                        <c:pt idx="7">
                          <c:v>THIRD FLOOR</c:v>
                        </c:pt>
                        <c:pt idx="10">
                          <c:v>FOURTH FLOOR</c:v>
                        </c:pt>
                        <c:pt idx="13">
                          <c:v>FIFTH FLOOR</c:v>
                        </c:pt>
                        <c:pt idx="16">
                          <c:v>SIXTH FLOOR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Summary!$G$2:$G$20</c15:sqref>
                        </c15:formulaRef>
                      </c:ext>
                    </c:extLst>
                    <c:numCache>
                      <c:formatCode>0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63F-4B16-8965-95E4240B2F30}"/>
                  </c:ext>
                </c:extLst>
              </c15:ser>
            </c15:filteredBarSeries>
          </c:ext>
        </c:extLst>
      </c:barChart>
      <c:catAx>
        <c:axId val="87461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24256"/>
        <c:crosses val="autoZero"/>
        <c:auto val="1"/>
        <c:lblAlgn val="ctr"/>
        <c:lblOffset val="100"/>
        <c:noMultiLvlLbl val="0"/>
      </c:catAx>
      <c:valAx>
        <c:axId val="87462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8816"/>
        <c:crosses val="autoZero"/>
        <c:crossBetween val="between"/>
        <c:majorUnit val="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800" b="0" i="0" baseline="0">
                <a:effectLst/>
              </a:rPr>
              <a:t>Bar chart showing the percentage rating of structural elements tested</a:t>
            </a:r>
            <a:endParaRPr lang="en-GB" sz="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3"/>
          <c:tx>
            <c:strRef>
              <c:f>Summary!$F$1</c:f>
              <c:strCache>
                <c:ptCount val="1"/>
                <c:pt idx="0">
                  <c:v>Percentage good (%)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Summary!$A$2:$B$20</c:f>
              <c:multiLvlStrCache>
                <c:ptCount val="19"/>
                <c:lvl>
                  <c:pt idx="0">
                    <c:v>Column</c:v>
                  </c:pt>
                  <c:pt idx="1">
                    <c:v>Column</c:v>
                  </c:pt>
                  <c:pt idx="2">
                    <c:v>Beam</c:v>
                  </c:pt>
                  <c:pt idx="3">
                    <c:v>Slab</c:v>
                  </c:pt>
                  <c:pt idx="4">
                    <c:v>Column</c:v>
                  </c:pt>
                  <c:pt idx="5">
                    <c:v>Beam</c:v>
                  </c:pt>
                  <c:pt idx="6">
                    <c:v>Slab</c:v>
                  </c:pt>
                  <c:pt idx="7">
                    <c:v>Column</c:v>
                  </c:pt>
                  <c:pt idx="8">
                    <c:v>Beam</c:v>
                  </c:pt>
                  <c:pt idx="9">
                    <c:v>Slab</c:v>
                  </c:pt>
                  <c:pt idx="10">
                    <c:v>Column</c:v>
                  </c:pt>
                  <c:pt idx="11">
                    <c:v>Beam</c:v>
                  </c:pt>
                  <c:pt idx="12">
                    <c:v>Slab</c:v>
                  </c:pt>
                  <c:pt idx="13">
                    <c:v>Column</c:v>
                  </c:pt>
                  <c:pt idx="14">
                    <c:v>Beam</c:v>
                  </c:pt>
                  <c:pt idx="15">
                    <c:v>Slab</c:v>
                  </c:pt>
                  <c:pt idx="16">
                    <c:v>Column</c:v>
                  </c:pt>
                  <c:pt idx="17">
                    <c:v>Beam</c:v>
                  </c:pt>
                  <c:pt idx="18">
                    <c:v>Slab</c:v>
                  </c:pt>
                </c:lvl>
                <c:lvl>
                  <c:pt idx="0">
                    <c:v>GROUND FLOOR</c:v>
                  </c:pt>
                  <c:pt idx="1">
                    <c:v>FIRST FLOOR</c:v>
                  </c:pt>
                  <c:pt idx="4">
                    <c:v>SECOND FLOOR</c:v>
                  </c:pt>
                  <c:pt idx="7">
                    <c:v>THIRD FLOOR</c:v>
                  </c:pt>
                  <c:pt idx="10">
                    <c:v>FOURTH FLOOR</c:v>
                  </c:pt>
                  <c:pt idx="13">
                    <c:v>FIFTH FLOOR</c:v>
                  </c:pt>
                  <c:pt idx="16">
                    <c:v>SIXTH FLOOR</c:v>
                  </c:pt>
                </c:lvl>
              </c:multiLvlStrCache>
            </c:multiLvlStrRef>
          </c:cat>
          <c:val>
            <c:numRef>
              <c:f>Summary!$F$2:$F$20</c:f>
              <c:numCache>
                <c:formatCode>0</c:formatCode>
                <c:ptCount val="1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99.999999999999986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E-4CB6-A96F-914AEEBC689A}"/>
            </c:ext>
          </c:extLst>
        </c:ser>
        <c:ser>
          <c:idx val="4"/>
          <c:order val="4"/>
          <c:tx>
            <c:strRef>
              <c:f>Summary!$G$1</c:f>
              <c:strCache>
                <c:ptCount val="1"/>
                <c:pt idx="0">
                  <c:v>Percentage poor (%)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f>Summary!$A$2:$B$20</c:f>
              <c:multiLvlStrCache>
                <c:ptCount val="19"/>
                <c:lvl>
                  <c:pt idx="0">
                    <c:v>Column</c:v>
                  </c:pt>
                  <c:pt idx="1">
                    <c:v>Column</c:v>
                  </c:pt>
                  <c:pt idx="2">
                    <c:v>Beam</c:v>
                  </c:pt>
                  <c:pt idx="3">
                    <c:v>Slab</c:v>
                  </c:pt>
                  <c:pt idx="4">
                    <c:v>Column</c:v>
                  </c:pt>
                  <c:pt idx="5">
                    <c:v>Beam</c:v>
                  </c:pt>
                  <c:pt idx="6">
                    <c:v>Slab</c:v>
                  </c:pt>
                  <c:pt idx="7">
                    <c:v>Column</c:v>
                  </c:pt>
                  <c:pt idx="8">
                    <c:v>Beam</c:v>
                  </c:pt>
                  <c:pt idx="9">
                    <c:v>Slab</c:v>
                  </c:pt>
                  <c:pt idx="10">
                    <c:v>Column</c:v>
                  </c:pt>
                  <c:pt idx="11">
                    <c:v>Beam</c:v>
                  </c:pt>
                  <c:pt idx="12">
                    <c:v>Slab</c:v>
                  </c:pt>
                  <c:pt idx="13">
                    <c:v>Column</c:v>
                  </c:pt>
                  <c:pt idx="14">
                    <c:v>Beam</c:v>
                  </c:pt>
                  <c:pt idx="15">
                    <c:v>Slab</c:v>
                  </c:pt>
                  <c:pt idx="16">
                    <c:v>Column</c:v>
                  </c:pt>
                  <c:pt idx="17">
                    <c:v>Beam</c:v>
                  </c:pt>
                  <c:pt idx="18">
                    <c:v>Slab</c:v>
                  </c:pt>
                </c:lvl>
                <c:lvl>
                  <c:pt idx="0">
                    <c:v>GROUND FLOOR</c:v>
                  </c:pt>
                  <c:pt idx="1">
                    <c:v>FIRST FLOOR</c:v>
                  </c:pt>
                  <c:pt idx="4">
                    <c:v>SECOND FLOOR</c:v>
                  </c:pt>
                  <c:pt idx="7">
                    <c:v>THIRD FLOOR</c:v>
                  </c:pt>
                  <c:pt idx="10">
                    <c:v>FOURTH FLOOR</c:v>
                  </c:pt>
                  <c:pt idx="13">
                    <c:v>FIFTH FLOOR</c:v>
                  </c:pt>
                  <c:pt idx="16">
                    <c:v>SIXTH FLOOR</c:v>
                  </c:pt>
                </c:lvl>
              </c:multiLvlStrCache>
            </c:multiLvlStrRef>
          </c:cat>
          <c:val>
            <c:numRef>
              <c:f>Summary!$G$2:$G$20</c:f>
              <c:numCache>
                <c:formatCode>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E-4CB6-A96F-914AEEBC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484688"/>
        <c:axId val="10174808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Summary!$C$1</c15:sqref>
                        </c15:formulaRef>
                      </c:ext>
                    </c:extLst>
                    <c:strCache>
                      <c:ptCount val="1"/>
                      <c:pt idx="0">
                        <c:v>Total number tested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Summary!$A$2:$B$20</c15:sqref>
                        </c15:formulaRef>
                      </c:ext>
                    </c:extLst>
                    <c:multiLvlStrCache>
                      <c:ptCount val="19"/>
                      <c:lvl>
                        <c:pt idx="0">
                          <c:v>Column</c:v>
                        </c:pt>
                        <c:pt idx="1">
                          <c:v>Column</c:v>
                        </c:pt>
                        <c:pt idx="2">
                          <c:v>Beam</c:v>
                        </c:pt>
                        <c:pt idx="3">
                          <c:v>Slab</c:v>
                        </c:pt>
                        <c:pt idx="4">
                          <c:v>Column</c:v>
                        </c:pt>
                        <c:pt idx="5">
                          <c:v>Beam</c:v>
                        </c:pt>
                        <c:pt idx="6">
                          <c:v>Slab</c:v>
                        </c:pt>
                        <c:pt idx="7">
                          <c:v>Column</c:v>
                        </c:pt>
                        <c:pt idx="8">
                          <c:v>Beam</c:v>
                        </c:pt>
                        <c:pt idx="9">
                          <c:v>Slab</c:v>
                        </c:pt>
                        <c:pt idx="10">
                          <c:v>Column</c:v>
                        </c:pt>
                        <c:pt idx="11">
                          <c:v>Beam</c:v>
                        </c:pt>
                        <c:pt idx="12">
                          <c:v>Slab</c:v>
                        </c:pt>
                        <c:pt idx="13">
                          <c:v>Column</c:v>
                        </c:pt>
                        <c:pt idx="14">
                          <c:v>Beam</c:v>
                        </c:pt>
                        <c:pt idx="15">
                          <c:v>Slab</c:v>
                        </c:pt>
                        <c:pt idx="16">
                          <c:v>Column</c:v>
                        </c:pt>
                        <c:pt idx="17">
                          <c:v>Beam</c:v>
                        </c:pt>
                        <c:pt idx="18">
                          <c:v>Slab</c:v>
                        </c:pt>
                      </c:lvl>
                      <c:lvl>
                        <c:pt idx="0">
                          <c:v>GROUND FLOOR</c:v>
                        </c:pt>
                        <c:pt idx="1">
                          <c:v>FIRST FLOOR</c:v>
                        </c:pt>
                        <c:pt idx="4">
                          <c:v>SECOND FLOOR</c:v>
                        </c:pt>
                        <c:pt idx="7">
                          <c:v>THIRD FLOOR</c:v>
                        </c:pt>
                        <c:pt idx="10">
                          <c:v>FOURTH FLOOR</c:v>
                        </c:pt>
                        <c:pt idx="13">
                          <c:v>FIFTH FLOOR</c:v>
                        </c:pt>
                        <c:pt idx="16">
                          <c:v>SIXTH FLOOR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Summary!$C$2:$C$20</c15:sqref>
                        </c15:formulaRef>
                      </c:ext>
                    </c:extLst>
                    <c:numCache>
                      <c:formatCode>0</c:formatCode>
                      <c:ptCount val="19"/>
                      <c:pt idx="0">
                        <c:v>8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7</c:v>
                      </c:pt>
                      <c:pt idx="4">
                        <c:v>9.3333333333333304</c:v>
                      </c:pt>
                      <c:pt idx="5">
                        <c:v>11.8333333333333</c:v>
                      </c:pt>
                      <c:pt idx="6">
                        <c:v>14.3333333333333</c:v>
                      </c:pt>
                      <c:pt idx="7">
                        <c:v>16.8333333333333</c:v>
                      </c:pt>
                      <c:pt idx="8">
                        <c:v>19.3333333333333</c:v>
                      </c:pt>
                      <c:pt idx="9">
                        <c:v>21.8333333333333</c:v>
                      </c:pt>
                      <c:pt idx="10">
                        <c:v>24.3333333333333</c:v>
                      </c:pt>
                      <c:pt idx="11">
                        <c:v>26.8333333333333</c:v>
                      </c:pt>
                      <c:pt idx="12">
                        <c:v>29.3333333333333</c:v>
                      </c:pt>
                      <c:pt idx="13">
                        <c:v>31.8333333333333</c:v>
                      </c:pt>
                      <c:pt idx="14">
                        <c:v>34.3333333333333</c:v>
                      </c:pt>
                      <c:pt idx="15">
                        <c:v>36.8333333333333</c:v>
                      </c:pt>
                      <c:pt idx="16">
                        <c:v>39.3333333333333</c:v>
                      </c:pt>
                      <c:pt idx="17">
                        <c:v>41.8333333333333</c:v>
                      </c:pt>
                      <c:pt idx="18">
                        <c:v>44.3333333333333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11E-4CB6-A96F-914AEEBC689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Summary!$D$1</c15:sqref>
                        </c15:formulaRef>
                      </c:ext>
                    </c:extLst>
                    <c:strCache>
                      <c:ptCount val="1"/>
                      <c:pt idx="0">
                        <c:v>Number of good</c:v>
                      </c:pt>
                    </c:strCache>
                  </c:strRef>
                </c:tx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Summary!$A$2:$B$20</c15:sqref>
                        </c15:formulaRef>
                      </c:ext>
                    </c:extLst>
                    <c:multiLvlStrCache>
                      <c:ptCount val="19"/>
                      <c:lvl>
                        <c:pt idx="0">
                          <c:v>Column</c:v>
                        </c:pt>
                        <c:pt idx="1">
                          <c:v>Column</c:v>
                        </c:pt>
                        <c:pt idx="2">
                          <c:v>Beam</c:v>
                        </c:pt>
                        <c:pt idx="3">
                          <c:v>Slab</c:v>
                        </c:pt>
                        <c:pt idx="4">
                          <c:v>Column</c:v>
                        </c:pt>
                        <c:pt idx="5">
                          <c:v>Beam</c:v>
                        </c:pt>
                        <c:pt idx="6">
                          <c:v>Slab</c:v>
                        </c:pt>
                        <c:pt idx="7">
                          <c:v>Column</c:v>
                        </c:pt>
                        <c:pt idx="8">
                          <c:v>Beam</c:v>
                        </c:pt>
                        <c:pt idx="9">
                          <c:v>Slab</c:v>
                        </c:pt>
                        <c:pt idx="10">
                          <c:v>Column</c:v>
                        </c:pt>
                        <c:pt idx="11">
                          <c:v>Beam</c:v>
                        </c:pt>
                        <c:pt idx="12">
                          <c:v>Slab</c:v>
                        </c:pt>
                        <c:pt idx="13">
                          <c:v>Column</c:v>
                        </c:pt>
                        <c:pt idx="14">
                          <c:v>Beam</c:v>
                        </c:pt>
                        <c:pt idx="15">
                          <c:v>Slab</c:v>
                        </c:pt>
                        <c:pt idx="16">
                          <c:v>Column</c:v>
                        </c:pt>
                        <c:pt idx="17">
                          <c:v>Beam</c:v>
                        </c:pt>
                        <c:pt idx="18">
                          <c:v>Slab</c:v>
                        </c:pt>
                      </c:lvl>
                      <c:lvl>
                        <c:pt idx="0">
                          <c:v>GROUND FLOOR</c:v>
                        </c:pt>
                        <c:pt idx="1">
                          <c:v>FIRST FLOOR</c:v>
                        </c:pt>
                        <c:pt idx="4">
                          <c:v>SECOND FLOOR</c:v>
                        </c:pt>
                        <c:pt idx="7">
                          <c:v>THIRD FLOOR</c:v>
                        </c:pt>
                        <c:pt idx="10">
                          <c:v>FOURTH FLOOR</c:v>
                        </c:pt>
                        <c:pt idx="13">
                          <c:v>FIFTH FLOOR</c:v>
                        </c:pt>
                        <c:pt idx="16">
                          <c:v>SIXTH FLOOR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Summary!$D$2:$D$20</c15:sqref>
                        </c15:formulaRef>
                      </c:ext>
                    </c:extLst>
                    <c:numCache>
                      <c:formatCode>0</c:formatCode>
                      <c:ptCount val="19"/>
                      <c:pt idx="0">
                        <c:v>8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7</c:v>
                      </c:pt>
                      <c:pt idx="4">
                        <c:v>9.3333333333333304</c:v>
                      </c:pt>
                      <c:pt idx="5">
                        <c:v>11.8333333333333</c:v>
                      </c:pt>
                      <c:pt idx="6">
                        <c:v>14.3333333333333</c:v>
                      </c:pt>
                      <c:pt idx="7">
                        <c:v>16.8333333333333</c:v>
                      </c:pt>
                      <c:pt idx="8">
                        <c:v>19.3333333333333</c:v>
                      </c:pt>
                      <c:pt idx="9">
                        <c:v>21.8333333333333</c:v>
                      </c:pt>
                      <c:pt idx="10">
                        <c:v>24.3333333333333</c:v>
                      </c:pt>
                      <c:pt idx="11">
                        <c:v>26.8333333333333</c:v>
                      </c:pt>
                      <c:pt idx="12">
                        <c:v>29.3333333333333</c:v>
                      </c:pt>
                      <c:pt idx="13">
                        <c:v>31.8333333333333</c:v>
                      </c:pt>
                      <c:pt idx="14">
                        <c:v>34.3333333333333</c:v>
                      </c:pt>
                      <c:pt idx="15">
                        <c:v>36.8333333333333</c:v>
                      </c:pt>
                      <c:pt idx="16">
                        <c:v>39.3333333333333</c:v>
                      </c:pt>
                      <c:pt idx="17">
                        <c:v>41.8333333333333</c:v>
                      </c:pt>
                      <c:pt idx="18">
                        <c:v>44.3333333333333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11E-4CB6-A96F-914AEEBC689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Summary!$E$1</c15:sqref>
                        </c15:formulaRef>
                      </c:ext>
                    </c:extLst>
                    <c:strCache>
                      <c:ptCount val="1"/>
                      <c:pt idx="0">
                        <c:v>Number of poor</c:v>
                      </c:pt>
                    </c:strCache>
                  </c:strRef>
                </c:tx>
                <c:spPr>
                  <a:solidFill>
                    <a:srgbClr val="C00000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Summary!$A$2:$B$20</c15:sqref>
                        </c15:formulaRef>
                      </c:ext>
                    </c:extLst>
                    <c:multiLvlStrCache>
                      <c:ptCount val="19"/>
                      <c:lvl>
                        <c:pt idx="0">
                          <c:v>Column</c:v>
                        </c:pt>
                        <c:pt idx="1">
                          <c:v>Column</c:v>
                        </c:pt>
                        <c:pt idx="2">
                          <c:v>Beam</c:v>
                        </c:pt>
                        <c:pt idx="3">
                          <c:v>Slab</c:v>
                        </c:pt>
                        <c:pt idx="4">
                          <c:v>Column</c:v>
                        </c:pt>
                        <c:pt idx="5">
                          <c:v>Beam</c:v>
                        </c:pt>
                        <c:pt idx="6">
                          <c:v>Slab</c:v>
                        </c:pt>
                        <c:pt idx="7">
                          <c:v>Column</c:v>
                        </c:pt>
                        <c:pt idx="8">
                          <c:v>Beam</c:v>
                        </c:pt>
                        <c:pt idx="9">
                          <c:v>Slab</c:v>
                        </c:pt>
                        <c:pt idx="10">
                          <c:v>Column</c:v>
                        </c:pt>
                        <c:pt idx="11">
                          <c:v>Beam</c:v>
                        </c:pt>
                        <c:pt idx="12">
                          <c:v>Slab</c:v>
                        </c:pt>
                        <c:pt idx="13">
                          <c:v>Column</c:v>
                        </c:pt>
                        <c:pt idx="14">
                          <c:v>Beam</c:v>
                        </c:pt>
                        <c:pt idx="15">
                          <c:v>Slab</c:v>
                        </c:pt>
                        <c:pt idx="16">
                          <c:v>Column</c:v>
                        </c:pt>
                        <c:pt idx="17">
                          <c:v>Beam</c:v>
                        </c:pt>
                        <c:pt idx="18">
                          <c:v>Slab</c:v>
                        </c:pt>
                      </c:lvl>
                      <c:lvl>
                        <c:pt idx="0">
                          <c:v>GROUND FLOOR</c:v>
                        </c:pt>
                        <c:pt idx="1">
                          <c:v>FIRST FLOOR</c:v>
                        </c:pt>
                        <c:pt idx="4">
                          <c:v>SECOND FLOOR</c:v>
                        </c:pt>
                        <c:pt idx="7">
                          <c:v>THIRD FLOOR</c:v>
                        </c:pt>
                        <c:pt idx="10">
                          <c:v>FOURTH FLOOR</c:v>
                        </c:pt>
                        <c:pt idx="13">
                          <c:v>FIFTH FLOOR</c:v>
                        </c:pt>
                        <c:pt idx="16">
                          <c:v>SIXTH FLOOR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Summary!$E$2:$E$20</c15:sqref>
                        </c15:formulaRef>
                      </c:ext>
                    </c:extLst>
                    <c:numCache>
                      <c:formatCode>0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11E-4CB6-A96F-914AEEBC689A}"/>
                  </c:ext>
                </c:extLst>
              </c15:ser>
            </c15:filteredBarSeries>
          </c:ext>
        </c:extLst>
      </c:barChart>
      <c:catAx>
        <c:axId val="101748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480880"/>
        <c:crosses val="autoZero"/>
        <c:auto val="1"/>
        <c:lblAlgn val="ctr"/>
        <c:lblOffset val="100"/>
        <c:noMultiLvlLbl val="0"/>
      </c:catAx>
      <c:valAx>
        <c:axId val="101748088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48468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389254</xdr:colOff>
      <xdr:row>0</xdr:row>
      <xdr:rowOff>332740</xdr:rowOff>
    </xdr:from>
    <xdr:to>
      <xdr:col>21</xdr:col>
      <xdr:colOff>609599</xdr:colOff>
      <xdr:row>13</xdr:row>
      <xdr:rowOff>67310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422910</xdr:colOff>
      <xdr:row>13</xdr:row>
      <xdr:rowOff>151130</xdr:rowOff>
    </xdr:from>
    <xdr:to>
      <xdr:col>22</xdr:col>
      <xdr:colOff>7620</xdr:colOff>
      <xdr:row>28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workbookViewId="0">
      <selection activeCell="C12" sqref="A1:H25"/>
    </sheetView>
  </sheetViews>
  <sheetFormatPr defaultRowHeight="14.4" x14ac:dyDescent="0.3"/>
  <sheetData>
    <row r="1" spans="1:8" ht="86.4" x14ac:dyDescent="0.3">
      <c r="A1" s="24" t="s">
        <v>0</v>
      </c>
      <c r="B1" s="24" t="s">
        <v>1</v>
      </c>
      <c r="C1" s="25" t="s">
        <v>2</v>
      </c>
      <c r="D1" s="24" t="s">
        <v>3</v>
      </c>
      <c r="E1" s="24" t="s">
        <v>4</v>
      </c>
      <c r="F1" s="24" t="s">
        <v>5</v>
      </c>
      <c r="G1" s="24" t="s">
        <v>40</v>
      </c>
      <c r="H1" s="24" t="s">
        <v>6</v>
      </c>
    </row>
    <row r="2" spans="1:8" x14ac:dyDescent="0.3">
      <c r="A2" s="26" t="s">
        <v>7</v>
      </c>
      <c r="B2" s="27" t="s">
        <v>8</v>
      </c>
      <c r="C2" s="28">
        <v>29.60181351771358</v>
      </c>
      <c r="D2" s="27">
        <v>120</v>
      </c>
      <c r="E2" s="29">
        <f t="shared" ref="E2:E25" si="0">D2/C2</f>
        <v>4.0538056875533179</v>
      </c>
      <c r="F2" s="30">
        <f t="shared" ref="F2:F25" si="1">2.9997*EXP(0.5345*E2)</f>
        <v>26.187217856941029</v>
      </c>
      <c r="G2" s="31">
        <f>AVERAGE(F2:F4)</f>
        <v>25.139813550032958</v>
      </c>
      <c r="H2" s="32" t="str">
        <f>IF(G2&gt;=25,"GOOD","POOR")</f>
        <v>GOOD</v>
      </c>
    </row>
    <row r="3" spans="1:8" x14ac:dyDescent="0.3">
      <c r="A3" s="26"/>
      <c r="B3" s="27" t="s">
        <v>9</v>
      </c>
      <c r="C3" s="28">
        <v>32.799999999999997</v>
      </c>
      <c r="D3" s="27">
        <v>120</v>
      </c>
      <c r="E3" s="29">
        <f t="shared" si="0"/>
        <v>3.6585365853658538</v>
      </c>
      <c r="F3" s="30">
        <f t="shared" si="1"/>
        <v>21.199976825611262</v>
      </c>
      <c r="G3" s="31"/>
      <c r="H3" s="32"/>
    </row>
    <row r="4" spans="1:8" x14ac:dyDescent="0.3">
      <c r="A4" s="26"/>
      <c r="B4" s="27" t="s">
        <v>10</v>
      </c>
      <c r="C4" s="28">
        <v>28.7</v>
      </c>
      <c r="D4" s="27">
        <v>120</v>
      </c>
      <c r="E4" s="29">
        <f t="shared" si="0"/>
        <v>4.1811846689895473</v>
      </c>
      <c r="F4" s="30">
        <f t="shared" si="1"/>
        <v>28.032245967546586</v>
      </c>
      <c r="G4" s="31"/>
      <c r="H4" s="32"/>
    </row>
    <row r="5" spans="1:8" x14ac:dyDescent="0.3">
      <c r="A5" s="26" t="s">
        <v>11</v>
      </c>
      <c r="B5" s="27" t="s">
        <v>8</v>
      </c>
      <c r="C5" s="28">
        <v>30.27751360949069</v>
      </c>
      <c r="D5" s="27">
        <v>120</v>
      </c>
      <c r="E5" s="29">
        <f t="shared" si="0"/>
        <v>3.9633373317148868</v>
      </c>
      <c r="F5" s="30">
        <f t="shared" si="1"/>
        <v>24.951054540817864</v>
      </c>
      <c r="G5" s="31">
        <f t="shared" ref="G5" si="2">AVERAGE(F5:F7)</f>
        <v>25.651111827786035</v>
      </c>
      <c r="H5" s="32" t="str">
        <f t="shared" ref="H5" si="3">IF(G5&gt;=25,"GOOD","POOR")</f>
        <v>GOOD</v>
      </c>
    </row>
    <row r="6" spans="1:8" x14ac:dyDescent="0.3">
      <c r="A6" s="26"/>
      <c r="B6" s="27" t="s">
        <v>9</v>
      </c>
      <c r="C6" s="28">
        <v>30.270673152745278</v>
      </c>
      <c r="D6" s="27">
        <v>120</v>
      </c>
      <c r="E6" s="29">
        <f t="shared" si="0"/>
        <v>3.9642329522862654</v>
      </c>
      <c r="F6" s="30">
        <f t="shared" si="1"/>
        <v>24.963001699440717</v>
      </c>
      <c r="G6" s="31"/>
      <c r="H6" s="32"/>
    </row>
    <row r="7" spans="1:8" x14ac:dyDescent="0.3">
      <c r="A7" s="26"/>
      <c r="B7" s="27" t="s">
        <v>10</v>
      </c>
      <c r="C7" s="28">
        <v>29.170744340925435</v>
      </c>
      <c r="D7" s="27">
        <v>120</v>
      </c>
      <c r="E7" s="29">
        <f t="shared" si="0"/>
        <v>4.1137105929670987</v>
      </c>
      <c r="F7" s="30">
        <f t="shared" si="1"/>
        <v>27.039279243099529</v>
      </c>
      <c r="G7" s="31"/>
      <c r="H7" s="32"/>
    </row>
    <row r="8" spans="1:8" x14ac:dyDescent="0.3">
      <c r="A8" s="26" t="s">
        <v>12</v>
      </c>
      <c r="B8" s="27" t="s">
        <v>8</v>
      </c>
      <c r="C8" s="28">
        <v>30.548590097081782</v>
      </c>
      <c r="D8" s="27">
        <v>120</v>
      </c>
      <c r="E8" s="29">
        <f t="shared" si="0"/>
        <v>3.9281681942978852</v>
      </c>
      <c r="F8" s="30">
        <f t="shared" si="1"/>
        <v>24.486407887959771</v>
      </c>
      <c r="G8" s="31">
        <f t="shared" ref="G8" si="4">AVERAGE(F8:F10)</f>
        <v>25.600386768829452</v>
      </c>
      <c r="H8" s="32" t="str">
        <f t="shared" ref="H8" si="5">IF(G8&gt;=25,"GOOD","POOR")</f>
        <v>GOOD</v>
      </c>
    </row>
    <row r="9" spans="1:8" x14ac:dyDescent="0.3">
      <c r="A9" s="26"/>
      <c r="B9" s="27" t="s">
        <v>9</v>
      </c>
      <c r="C9" s="28">
        <v>29.46747575477491</v>
      </c>
      <c r="D9" s="27">
        <v>120</v>
      </c>
      <c r="E9" s="29">
        <f t="shared" si="0"/>
        <v>4.0722863742597699</v>
      </c>
      <c r="F9" s="30">
        <f t="shared" si="1"/>
        <v>26.447175089984189</v>
      </c>
      <c r="G9" s="31"/>
      <c r="H9" s="32"/>
    </row>
    <row r="10" spans="1:8" x14ac:dyDescent="0.3">
      <c r="A10" s="26"/>
      <c r="B10" s="27" t="s">
        <v>10</v>
      </c>
      <c r="C10" s="28">
        <v>29.770551477806059</v>
      </c>
      <c r="D10" s="27">
        <v>120</v>
      </c>
      <c r="E10" s="29">
        <f t="shared" si="0"/>
        <v>4.0308289246660403</v>
      </c>
      <c r="F10" s="30">
        <f t="shared" si="1"/>
        <v>25.8675773285444</v>
      </c>
      <c r="G10" s="31"/>
      <c r="H10" s="32"/>
    </row>
    <row r="11" spans="1:8" x14ac:dyDescent="0.3">
      <c r="A11" s="26" t="s">
        <v>13</v>
      </c>
      <c r="B11" s="27" t="s">
        <v>8</v>
      </c>
      <c r="C11" s="28">
        <v>29.6</v>
      </c>
      <c r="D11" s="27">
        <v>120</v>
      </c>
      <c r="E11" s="29">
        <f t="shared" si="0"/>
        <v>4.0540540540540535</v>
      </c>
      <c r="F11" s="30">
        <f t="shared" si="1"/>
        <v>26.190694490486713</v>
      </c>
      <c r="G11" s="31">
        <f t="shared" ref="G11" si="6">AVERAGE(F11:F13)</f>
        <v>25.685595612520544</v>
      </c>
      <c r="H11" s="32" t="str">
        <f t="shared" ref="H11" si="7">IF(G11&gt;=25,"GOOD","POOR")</f>
        <v>GOOD</v>
      </c>
    </row>
    <row r="12" spans="1:8" x14ac:dyDescent="0.3">
      <c r="A12" s="26"/>
      <c r="B12" s="27" t="s">
        <v>9</v>
      </c>
      <c r="C12" s="28">
        <v>29.777132672937686</v>
      </c>
      <c r="D12" s="27">
        <v>120</v>
      </c>
      <c r="E12" s="29">
        <f t="shared" si="0"/>
        <v>4.0299380507196867</v>
      </c>
      <c r="F12" s="30">
        <f t="shared" si="1"/>
        <v>25.855262841437135</v>
      </c>
      <c r="G12" s="31"/>
      <c r="H12" s="32"/>
    </row>
    <row r="13" spans="1:8" x14ac:dyDescent="0.3">
      <c r="A13" s="26"/>
      <c r="B13" s="27" t="s">
        <v>10</v>
      </c>
      <c r="C13" s="28">
        <v>30.243352504602285</v>
      </c>
      <c r="D13" s="27">
        <v>120</v>
      </c>
      <c r="E13" s="29">
        <f t="shared" si="0"/>
        <v>3.9678140834994728</v>
      </c>
      <c r="F13" s="30">
        <f t="shared" si="1"/>
        <v>25.010829505637783</v>
      </c>
      <c r="G13" s="31"/>
      <c r="H13" s="32"/>
    </row>
    <row r="14" spans="1:8" x14ac:dyDescent="0.3">
      <c r="A14" s="26" t="s">
        <v>14</v>
      </c>
      <c r="B14" s="27" t="s">
        <v>8</v>
      </c>
      <c r="C14" s="28">
        <v>30.002869226189141</v>
      </c>
      <c r="D14" s="27">
        <v>120</v>
      </c>
      <c r="E14" s="29">
        <f t="shared" si="0"/>
        <v>3.9996174730933221</v>
      </c>
      <c r="F14" s="30">
        <f t="shared" si="1"/>
        <v>25.439620554143961</v>
      </c>
      <c r="G14" s="31">
        <f t="shared" ref="G14" si="8">AVERAGE(F14:F16)</f>
        <v>25.508999405057054</v>
      </c>
      <c r="H14" s="32" t="str">
        <f t="shared" ref="H14" si="9">IF(G14&gt;=25,"GOOD","POOR")</f>
        <v>GOOD</v>
      </c>
    </row>
    <row r="15" spans="1:8" x14ac:dyDescent="0.3">
      <c r="A15" s="26"/>
      <c r="B15" s="27" t="s">
        <v>9</v>
      </c>
      <c r="C15" s="28">
        <v>27.9</v>
      </c>
      <c r="D15" s="27">
        <v>120</v>
      </c>
      <c r="E15" s="29">
        <f t="shared" si="0"/>
        <v>4.3010752688172049</v>
      </c>
      <c r="F15" s="30">
        <f t="shared" si="1"/>
        <v>29.887400835415946</v>
      </c>
      <c r="G15" s="31"/>
      <c r="H15" s="32"/>
    </row>
    <row r="16" spans="1:8" x14ac:dyDescent="0.3">
      <c r="A16" s="26"/>
      <c r="B16" s="27" t="s">
        <v>10</v>
      </c>
      <c r="C16" s="28">
        <v>32.799999999999997</v>
      </c>
      <c r="D16" s="27">
        <v>120</v>
      </c>
      <c r="E16" s="29">
        <f t="shared" si="0"/>
        <v>3.6585365853658538</v>
      </c>
      <c r="F16" s="30">
        <f t="shared" si="1"/>
        <v>21.199976825611262</v>
      </c>
      <c r="G16" s="31"/>
      <c r="H16" s="32"/>
    </row>
    <row r="17" spans="1:8" x14ac:dyDescent="0.3">
      <c r="A17" s="26" t="s">
        <v>15</v>
      </c>
      <c r="B17" s="27" t="s">
        <v>8</v>
      </c>
      <c r="C17" s="28">
        <v>29.221127881663847</v>
      </c>
      <c r="D17" s="27">
        <v>120</v>
      </c>
      <c r="E17" s="29">
        <f t="shared" si="0"/>
        <v>4.1066176667088738</v>
      </c>
      <c r="F17" s="30">
        <f t="shared" si="1"/>
        <v>26.936962835501653</v>
      </c>
      <c r="G17" s="31">
        <f>AVERAGE(F17:F19)</f>
        <v>25.95482440309117</v>
      </c>
      <c r="H17" s="32" t="str">
        <f>IF(G17&gt;=25,"GOOD","POOR")</f>
        <v>GOOD</v>
      </c>
    </row>
    <row r="18" spans="1:8" x14ac:dyDescent="0.3">
      <c r="A18" s="26"/>
      <c r="B18" s="27" t="s">
        <v>9</v>
      </c>
      <c r="C18" s="28">
        <v>29.644360227701604</v>
      </c>
      <c r="D18" s="27">
        <v>120</v>
      </c>
      <c r="E18" s="29">
        <f t="shared" si="0"/>
        <v>4.0479875118999615</v>
      </c>
      <c r="F18" s="30">
        <f t="shared" si="1"/>
        <v>26.105906953466263</v>
      </c>
      <c r="G18" s="31"/>
      <c r="H18" s="32"/>
    </row>
    <row r="19" spans="1:8" x14ac:dyDescent="0.3">
      <c r="A19" s="26"/>
      <c r="B19" s="27" t="s">
        <v>10</v>
      </c>
      <c r="C19" s="28">
        <v>30.352042581431352</v>
      </c>
      <c r="D19" s="27">
        <v>120</v>
      </c>
      <c r="E19" s="29">
        <f t="shared" si="0"/>
        <v>3.9536054180885047</v>
      </c>
      <c r="F19" s="30">
        <f t="shared" si="1"/>
        <v>24.821603420305593</v>
      </c>
      <c r="G19" s="31"/>
      <c r="H19" s="32"/>
    </row>
    <row r="20" spans="1:8" x14ac:dyDescent="0.3">
      <c r="A20" s="26" t="s">
        <v>16</v>
      </c>
      <c r="B20" s="27" t="s">
        <v>8</v>
      </c>
      <c r="C20" s="28">
        <v>30.87224216809399</v>
      </c>
      <c r="D20" s="27">
        <v>120</v>
      </c>
      <c r="E20" s="29">
        <f t="shared" si="0"/>
        <v>3.8869868714627485</v>
      </c>
      <c r="F20" s="30">
        <f t="shared" si="1"/>
        <v>23.953315929981898</v>
      </c>
      <c r="G20" s="31">
        <f t="shared" ref="G20" si="10">AVERAGE(F20:F22)</f>
        <v>25.474544433545816</v>
      </c>
      <c r="H20" s="32" t="str">
        <f t="shared" ref="H20" si="11">IF(G20&gt;=25,"GOOD","POOR")</f>
        <v>GOOD</v>
      </c>
    </row>
    <row r="21" spans="1:8" x14ac:dyDescent="0.3">
      <c r="A21" s="26"/>
      <c r="B21" s="27" t="s">
        <v>9</v>
      </c>
      <c r="C21" s="28">
        <v>29.307503029093819</v>
      </c>
      <c r="D21" s="27">
        <v>120</v>
      </c>
      <c r="E21" s="29">
        <f t="shared" si="0"/>
        <v>4.0945146326821131</v>
      </c>
      <c r="F21" s="30">
        <f t="shared" si="1"/>
        <v>26.763268119409421</v>
      </c>
      <c r="G21" s="31"/>
      <c r="H21" s="32"/>
    </row>
    <row r="22" spans="1:8" x14ac:dyDescent="0.3">
      <c r="A22" s="26"/>
      <c r="B22" s="27" t="s">
        <v>10</v>
      </c>
      <c r="C22" s="28">
        <v>29.856819088680766</v>
      </c>
      <c r="D22" s="27">
        <v>120</v>
      </c>
      <c r="E22" s="29">
        <f t="shared" si="0"/>
        <v>4.0191823396717457</v>
      </c>
      <c r="F22" s="30">
        <f t="shared" si="1"/>
        <v>25.707049251246126</v>
      </c>
      <c r="G22" s="31"/>
      <c r="H22" s="32"/>
    </row>
    <row r="23" spans="1:8" x14ac:dyDescent="0.3">
      <c r="A23" s="26" t="s">
        <v>17</v>
      </c>
      <c r="B23" s="27" t="s">
        <v>8</v>
      </c>
      <c r="C23" s="28">
        <v>30.429919046117291</v>
      </c>
      <c r="D23" s="27">
        <v>120</v>
      </c>
      <c r="E23" s="29">
        <f t="shared" si="0"/>
        <v>3.9434873230565302</v>
      </c>
      <c r="F23" s="30">
        <f t="shared" si="1"/>
        <v>24.687727500808201</v>
      </c>
      <c r="G23" s="31">
        <f t="shared" ref="G23" si="12">AVERAGE(F23:F25)</f>
        <v>25.410915156180618</v>
      </c>
      <c r="H23" s="32" t="str">
        <f t="shared" ref="H23" si="13">IF(G23&gt;=25,"GOOD","POOR")</f>
        <v>GOOD</v>
      </c>
    </row>
    <row r="24" spans="1:8" x14ac:dyDescent="0.3">
      <c r="A24" s="26"/>
      <c r="B24" s="27" t="s">
        <v>9</v>
      </c>
      <c r="C24" s="28">
        <v>29.652699173405725</v>
      </c>
      <c r="D24" s="27">
        <v>120</v>
      </c>
      <c r="E24" s="29">
        <f t="shared" si="0"/>
        <v>4.046849134989472</v>
      </c>
      <c r="F24" s="30">
        <f t="shared" si="1"/>
        <v>26.090027320706003</v>
      </c>
      <c r="G24" s="31"/>
      <c r="H24" s="32"/>
    </row>
    <row r="25" spans="1:8" x14ac:dyDescent="0.3">
      <c r="A25" s="26"/>
      <c r="B25" s="27" t="s">
        <v>10</v>
      </c>
      <c r="C25" s="28">
        <v>29.994394832471066</v>
      </c>
      <c r="D25" s="27">
        <v>120</v>
      </c>
      <c r="E25" s="29">
        <f t="shared" si="0"/>
        <v>4.0007474953317432</v>
      </c>
      <c r="F25" s="30">
        <f t="shared" si="1"/>
        <v>25.454990647027635</v>
      </c>
      <c r="G25" s="31"/>
      <c r="H25" s="32"/>
    </row>
    <row r="26" spans="1:8" x14ac:dyDescent="0.3">
      <c r="A26" s="5"/>
      <c r="B26" s="6"/>
      <c r="C26" s="18"/>
      <c r="D26" s="6"/>
      <c r="E26" s="8"/>
      <c r="F26" s="9"/>
      <c r="G26" s="10"/>
      <c r="H26" s="11"/>
    </row>
    <row r="27" spans="1:8" x14ac:dyDescent="0.3">
      <c r="A27" s="5"/>
      <c r="B27" s="6"/>
      <c r="C27" s="18"/>
      <c r="D27" s="6"/>
      <c r="E27" s="8"/>
      <c r="F27" s="9"/>
      <c r="G27" s="10"/>
      <c r="H27" s="11"/>
    </row>
    <row r="28" spans="1:8" x14ac:dyDescent="0.3">
      <c r="A28" s="5"/>
      <c r="B28" s="6"/>
      <c r="C28" s="18"/>
      <c r="D28" s="6"/>
      <c r="E28" s="8"/>
      <c r="F28" s="9"/>
      <c r="G28" s="10"/>
      <c r="H28" s="11"/>
    </row>
    <row r="29" spans="1:8" x14ac:dyDescent="0.3">
      <c r="A29" s="5"/>
      <c r="B29" s="6"/>
      <c r="C29" s="18"/>
      <c r="D29" s="6"/>
      <c r="E29" s="8"/>
      <c r="F29" s="9"/>
      <c r="G29" s="10"/>
      <c r="H29" s="11"/>
    </row>
    <row r="30" spans="1:8" x14ac:dyDescent="0.3">
      <c r="A30" s="5"/>
      <c r="B30" s="6"/>
      <c r="C30" s="18"/>
      <c r="D30" s="6"/>
      <c r="E30" s="8"/>
      <c r="F30" s="9"/>
      <c r="G30" s="10"/>
      <c r="H30" s="11"/>
    </row>
    <row r="31" spans="1:8" x14ac:dyDescent="0.3">
      <c r="A31" s="5"/>
      <c r="B31" s="6"/>
      <c r="C31" s="18"/>
      <c r="D31" s="6"/>
      <c r="E31" s="8"/>
      <c r="F31" s="9"/>
      <c r="G31" s="10"/>
      <c r="H31" s="11"/>
    </row>
    <row r="32" spans="1:8" x14ac:dyDescent="0.3">
      <c r="A32" s="5"/>
      <c r="B32" s="6"/>
      <c r="C32" s="18"/>
      <c r="D32" s="6"/>
      <c r="E32" s="8"/>
      <c r="F32" s="9"/>
      <c r="G32" s="10"/>
      <c r="H32" s="11"/>
    </row>
    <row r="33" spans="1:8" x14ac:dyDescent="0.3">
      <c r="A33" s="5"/>
      <c r="B33" s="6"/>
      <c r="C33" s="18"/>
      <c r="D33" s="6"/>
      <c r="E33" s="8"/>
      <c r="F33" s="9"/>
      <c r="G33" s="10"/>
      <c r="H33" s="11"/>
    </row>
    <row r="34" spans="1:8" x14ac:dyDescent="0.3">
      <c r="A34" s="5"/>
      <c r="B34" s="6"/>
      <c r="C34" s="18"/>
      <c r="D34" s="6"/>
      <c r="E34" s="8"/>
      <c r="F34" s="9"/>
      <c r="G34" s="10"/>
      <c r="H34" s="11"/>
    </row>
    <row r="35" spans="1:8" x14ac:dyDescent="0.3">
      <c r="A35" s="5"/>
      <c r="B35" s="6"/>
      <c r="C35" s="18"/>
      <c r="D35" s="6"/>
      <c r="E35" s="8"/>
      <c r="F35" s="9"/>
      <c r="G35" s="10"/>
      <c r="H35" s="11"/>
    </row>
    <row r="36" spans="1:8" x14ac:dyDescent="0.3">
      <c r="A36" s="5"/>
      <c r="B36" s="6"/>
      <c r="C36" s="18"/>
      <c r="D36" s="6"/>
      <c r="E36" s="8"/>
      <c r="F36" s="9"/>
      <c r="G36" s="10"/>
      <c r="H36" s="11"/>
    </row>
    <row r="37" spans="1:8" x14ac:dyDescent="0.3">
      <c r="A37" s="5"/>
      <c r="B37" s="6"/>
      <c r="C37" s="18"/>
      <c r="D37" s="6"/>
      <c r="E37" s="8"/>
      <c r="F37" s="9"/>
      <c r="G37" s="10"/>
      <c r="H37" s="11"/>
    </row>
    <row r="38" spans="1:8" x14ac:dyDescent="0.3">
      <c r="A38" s="5"/>
      <c r="B38" s="6"/>
      <c r="C38" s="18"/>
      <c r="D38" s="6"/>
      <c r="E38" s="8"/>
      <c r="F38" s="9"/>
      <c r="G38" s="10"/>
      <c r="H38" s="11"/>
    </row>
    <row r="39" spans="1:8" x14ac:dyDescent="0.3">
      <c r="A39" s="5"/>
      <c r="B39" s="6"/>
      <c r="C39" s="18"/>
      <c r="D39" s="6"/>
      <c r="E39" s="8"/>
      <c r="F39" s="9"/>
      <c r="G39" s="10"/>
      <c r="H39" s="11"/>
    </row>
    <row r="40" spans="1:8" x14ac:dyDescent="0.3">
      <c r="A40" s="5"/>
      <c r="B40" s="6"/>
      <c r="C40" s="18"/>
      <c r="D40" s="6"/>
      <c r="E40" s="8"/>
      <c r="F40" s="9"/>
      <c r="G40" s="10"/>
      <c r="H40" s="11"/>
    </row>
    <row r="41" spans="1:8" x14ac:dyDescent="0.3">
      <c r="A41" s="5"/>
      <c r="B41" s="6"/>
      <c r="C41" s="18"/>
      <c r="D41" s="6"/>
      <c r="E41" s="8"/>
      <c r="F41" s="9"/>
      <c r="G41" s="10"/>
      <c r="H41" s="11"/>
    </row>
    <row r="42" spans="1:8" x14ac:dyDescent="0.3">
      <c r="A42" s="5"/>
      <c r="B42" s="6"/>
      <c r="C42" s="18"/>
      <c r="D42" s="6"/>
      <c r="E42" s="8"/>
      <c r="F42" s="9"/>
      <c r="G42" s="10"/>
      <c r="H42" s="11"/>
    </row>
    <row r="43" spans="1:8" x14ac:dyDescent="0.3">
      <c r="A43" s="5"/>
      <c r="B43" s="6"/>
      <c r="C43" s="18"/>
      <c r="D43" s="6"/>
      <c r="E43" s="8"/>
      <c r="F43" s="9"/>
      <c r="G43" s="10"/>
      <c r="H43" s="11"/>
    </row>
    <row r="44" spans="1:8" x14ac:dyDescent="0.3">
      <c r="A44" s="5"/>
      <c r="B44" s="6"/>
      <c r="C44" s="18"/>
      <c r="D44" s="6"/>
      <c r="E44" s="8"/>
      <c r="F44" s="9"/>
      <c r="G44" s="10"/>
      <c r="H44" s="11"/>
    </row>
    <row r="45" spans="1:8" x14ac:dyDescent="0.3">
      <c r="A45" s="5"/>
      <c r="B45" s="6"/>
      <c r="C45" s="18"/>
      <c r="D45" s="6"/>
      <c r="E45" s="8"/>
      <c r="F45" s="9"/>
      <c r="G45" s="10"/>
      <c r="H45" s="11"/>
    </row>
    <row r="46" spans="1:8" x14ac:dyDescent="0.3">
      <c r="A46" s="5"/>
      <c r="B46" s="6"/>
      <c r="C46" s="18"/>
      <c r="D46" s="6"/>
      <c r="E46" s="8"/>
      <c r="F46" s="9"/>
      <c r="G46" s="10"/>
      <c r="H46" s="11"/>
    </row>
    <row r="47" spans="1:8" x14ac:dyDescent="0.3">
      <c r="A47" s="5"/>
      <c r="B47" s="6"/>
      <c r="C47" s="18"/>
      <c r="D47" s="6"/>
      <c r="E47" s="8"/>
      <c r="F47" s="9"/>
      <c r="G47" s="10"/>
      <c r="H47" s="11"/>
    </row>
    <row r="48" spans="1:8" x14ac:dyDescent="0.3">
      <c r="A48" s="5"/>
      <c r="B48" s="6"/>
      <c r="C48" s="18"/>
      <c r="D48" s="6"/>
      <c r="E48" s="8"/>
      <c r="F48" s="9"/>
      <c r="G48" s="10"/>
      <c r="H48" s="11"/>
    </row>
    <row r="49" spans="1:8" x14ac:dyDescent="0.3">
      <c r="A49" s="5"/>
      <c r="B49" s="6"/>
      <c r="C49" s="18"/>
      <c r="D49" s="6"/>
      <c r="E49" s="8"/>
      <c r="F49" s="9"/>
      <c r="G49" s="10"/>
      <c r="H49" s="11"/>
    </row>
    <row r="50" spans="1:8" x14ac:dyDescent="0.3">
      <c r="A50" s="5"/>
      <c r="B50" s="6"/>
      <c r="C50" s="18"/>
      <c r="D50" s="6"/>
      <c r="E50" s="8"/>
      <c r="F50" s="9"/>
      <c r="G50" s="10"/>
      <c r="H50" s="11"/>
    </row>
    <row r="51" spans="1:8" x14ac:dyDescent="0.3">
      <c r="A51" s="5"/>
      <c r="B51" s="6"/>
      <c r="C51" s="18"/>
      <c r="D51" s="6"/>
      <c r="E51" s="8"/>
      <c r="F51" s="9"/>
      <c r="G51" s="10"/>
      <c r="H51" s="11"/>
    </row>
    <row r="52" spans="1:8" x14ac:dyDescent="0.3">
      <c r="A52" s="5"/>
      <c r="B52" s="6"/>
      <c r="C52" s="18"/>
      <c r="D52" s="6"/>
      <c r="E52" s="8"/>
      <c r="F52" s="9"/>
      <c r="G52" s="10"/>
      <c r="H52" s="11"/>
    </row>
    <row r="53" spans="1:8" x14ac:dyDescent="0.3">
      <c r="A53" s="5"/>
      <c r="B53" s="6"/>
      <c r="C53" s="18"/>
      <c r="D53" s="6"/>
      <c r="E53" s="8"/>
      <c r="F53" s="9"/>
      <c r="G53" s="10"/>
      <c r="H53" s="11"/>
    </row>
    <row r="54" spans="1:8" x14ac:dyDescent="0.3">
      <c r="A54" s="5"/>
      <c r="B54" s="6"/>
      <c r="C54" s="18"/>
      <c r="D54" s="6"/>
      <c r="E54" s="8"/>
      <c r="F54" s="9"/>
      <c r="G54" s="10"/>
      <c r="H54" s="11"/>
    </row>
    <row r="55" spans="1:8" x14ac:dyDescent="0.3">
      <c r="A55" s="5"/>
      <c r="B55" s="6"/>
      <c r="C55" s="18"/>
      <c r="D55" s="6"/>
      <c r="E55" s="8"/>
      <c r="F55" s="9"/>
      <c r="G55" s="10"/>
      <c r="H55" s="11"/>
    </row>
    <row r="56" spans="1:8" x14ac:dyDescent="0.3">
      <c r="A56" s="5"/>
      <c r="B56" s="6"/>
      <c r="C56" s="18"/>
      <c r="D56" s="6"/>
      <c r="E56" s="8"/>
      <c r="F56" s="9"/>
      <c r="G56" s="10"/>
      <c r="H56" s="11"/>
    </row>
    <row r="57" spans="1:8" x14ac:dyDescent="0.3">
      <c r="A57" s="5"/>
      <c r="B57" s="6"/>
      <c r="C57" s="18"/>
      <c r="D57" s="6"/>
      <c r="E57" s="8"/>
      <c r="F57" s="9"/>
      <c r="G57" s="10"/>
      <c r="H57" s="11"/>
    </row>
    <row r="58" spans="1:8" x14ac:dyDescent="0.3">
      <c r="A58" s="5"/>
      <c r="B58" s="6"/>
      <c r="C58" s="18"/>
      <c r="D58" s="6"/>
      <c r="E58" s="8"/>
      <c r="F58" s="9"/>
      <c r="G58" s="10"/>
      <c r="H58" s="11"/>
    </row>
    <row r="59" spans="1:8" x14ac:dyDescent="0.3">
      <c r="A59" s="5"/>
      <c r="B59" s="6"/>
      <c r="C59" s="18"/>
      <c r="D59" s="6"/>
      <c r="E59" s="8"/>
      <c r="F59" s="9"/>
      <c r="G59" s="10"/>
      <c r="H59" s="11"/>
    </row>
    <row r="60" spans="1:8" x14ac:dyDescent="0.3">
      <c r="A60" s="5"/>
      <c r="B60" s="6"/>
      <c r="C60" s="18"/>
      <c r="D60" s="6"/>
      <c r="E60" s="8"/>
      <c r="F60" s="9"/>
      <c r="G60" s="10"/>
      <c r="H60" s="11"/>
    </row>
    <row r="61" spans="1:8" x14ac:dyDescent="0.3">
      <c r="A61" s="5"/>
      <c r="B61" s="6"/>
      <c r="C61" s="18"/>
      <c r="D61" s="6"/>
      <c r="E61" s="8"/>
      <c r="F61" s="9"/>
      <c r="G61" s="10"/>
      <c r="H61" s="11"/>
    </row>
    <row r="62" spans="1:8" x14ac:dyDescent="0.3">
      <c r="A62" s="5"/>
      <c r="B62" s="6"/>
      <c r="C62" s="18"/>
      <c r="D62" s="6"/>
      <c r="E62" s="8"/>
      <c r="F62" s="9"/>
      <c r="G62" s="10"/>
      <c r="H62" s="11"/>
    </row>
    <row r="63" spans="1:8" x14ac:dyDescent="0.3">
      <c r="A63" s="5"/>
      <c r="B63" s="6"/>
      <c r="C63" s="18"/>
      <c r="D63" s="6"/>
      <c r="E63" s="8"/>
      <c r="F63" s="9"/>
      <c r="G63" s="10"/>
      <c r="H63" s="11"/>
    </row>
    <row r="64" spans="1:8" x14ac:dyDescent="0.3">
      <c r="A64" s="5"/>
      <c r="B64" s="6"/>
      <c r="C64" s="18"/>
      <c r="D64" s="6"/>
      <c r="E64" s="8"/>
      <c r="F64" s="9"/>
      <c r="G64" s="10"/>
      <c r="H64" s="11"/>
    </row>
    <row r="65" spans="1:8" x14ac:dyDescent="0.3">
      <c r="A65" s="5"/>
      <c r="B65" s="6"/>
      <c r="C65" s="18"/>
      <c r="D65" s="6"/>
      <c r="E65" s="8"/>
      <c r="F65" s="9"/>
      <c r="G65" s="10"/>
      <c r="H65" s="11"/>
    </row>
    <row r="66" spans="1:8" x14ac:dyDescent="0.3">
      <c r="A66" s="5"/>
      <c r="B66" s="6"/>
      <c r="C66" s="18"/>
      <c r="D66" s="6"/>
      <c r="E66" s="8"/>
      <c r="F66" s="9"/>
      <c r="G66" s="10"/>
      <c r="H66" s="11"/>
    </row>
    <row r="67" spans="1:8" x14ac:dyDescent="0.3">
      <c r="A67" s="5"/>
      <c r="B67" s="6"/>
      <c r="C67" s="18"/>
      <c r="D67" s="6"/>
      <c r="E67" s="8"/>
      <c r="F67" s="9"/>
      <c r="G67" s="10"/>
      <c r="H67" s="11"/>
    </row>
    <row r="68" spans="1:8" x14ac:dyDescent="0.3">
      <c r="A68" s="5"/>
      <c r="B68" s="6"/>
      <c r="C68" s="18"/>
      <c r="D68" s="6"/>
      <c r="E68" s="8"/>
      <c r="F68" s="9"/>
      <c r="G68" s="10"/>
      <c r="H68" s="11"/>
    </row>
    <row r="69" spans="1:8" x14ac:dyDescent="0.3">
      <c r="A69" s="5"/>
      <c r="B69" s="6"/>
      <c r="C69" s="18"/>
      <c r="D69" s="6"/>
      <c r="E69" s="8"/>
      <c r="F69" s="9"/>
      <c r="G69" s="10"/>
      <c r="H69" s="11"/>
    </row>
    <row r="70" spans="1:8" x14ac:dyDescent="0.3">
      <c r="A70" s="5"/>
      <c r="B70" s="6"/>
      <c r="C70" s="18"/>
      <c r="D70" s="6"/>
      <c r="E70" s="8"/>
      <c r="F70" s="9"/>
      <c r="G70" s="10"/>
      <c r="H70" s="11"/>
    </row>
    <row r="71" spans="1:8" x14ac:dyDescent="0.3">
      <c r="A71" s="5"/>
      <c r="B71" s="6"/>
      <c r="C71" s="18"/>
      <c r="D71" s="6"/>
      <c r="E71" s="8"/>
      <c r="F71" s="9"/>
      <c r="G71" s="10"/>
      <c r="H71" s="11"/>
    </row>
    <row r="72" spans="1:8" x14ac:dyDescent="0.3">
      <c r="A72" s="5"/>
      <c r="B72" s="6"/>
      <c r="C72" s="18"/>
      <c r="D72" s="6"/>
      <c r="E72" s="8"/>
      <c r="F72" s="9"/>
      <c r="G72" s="10"/>
      <c r="H72" s="11"/>
    </row>
    <row r="73" spans="1:8" x14ac:dyDescent="0.3">
      <c r="A73" s="5"/>
      <c r="B73" s="6"/>
      <c r="C73" s="18"/>
      <c r="D73" s="6"/>
      <c r="E73" s="8"/>
      <c r="F73" s="9"/>
      <c r="G73" s="10"/>
      <c r="H73" s="11"/>
    </row>
    <row r="74" spans="1:8" x14ac:dyDescent="0.3">
      <c r="A74" s="5"/>
      <c r="B74" s="6"/>
      <c r="C74" s="18"/>
      <c r="D74" s="6"/>
      <c r="E74" s="8"/>
      <c r="F74" s="9"/>
      <c r="G74" s="10"/>
      <c r="H74" s="11"/>
    </row>
    <row r="75" spans="1:8" x14ac:dyDescent="0.3">
      <c r="A75" s="5"/>
      <c r="B75" s="6"/>
      <c r="C75" s="18"/>
      <c r="D75" s="6"/>
      <c r="E75" s="8"/>
      <c r="F75" s="9"/>
      <c r="G75" s="10"/>
      <c r="H75" s="11"/>
    </row>
    <row r="76" spans="1:8" x14ac:dyDescent="0.3">
      <c r="A76" s="5"/>
      <c r="B76" s="6"/>
      <c r="C76" s="18"/>
      <c r="D76" s="6"/>
      <c r="E76" s="8"/>
      <c r="F76" s="9"/>
      <c r="G76" s="10"/>
      <c r="H76" s="11"/>
    </row>
    <row r="77" spans="1:8" x14ac:dyDescent="0.3">
      <c r="A77" s="5"/>
      <c r="B77" s="6"/>
      <c r="C77" s="18"/>
      <c r="D77" s="6"/>
      <c r="E77" s="8"/>
      <c r="F77" s="9"/>
      <c r="G77" s="10"/>
      <c r="H77" s="11"/>
    </row>
    <row r="78" spans="1:8" x14ac:dyDescent="0.3">
      <c r="A78" s="5"/>
      <c r="B78" s="6"/>
      <c r="C78" s="18"/>
      <c r="D78" s="6"/>
      <c r="E78" s="8"/>
      <c r="F78" s="9"/>
      <c r="G78" s="10"/>
      <c r="H78" s="11"/>
    </row>
    <row r="79" spans="1:8" x14ac:dyDescent="0.3">
      <c r="A79" s="5"/>
      <c r="B79" s="6"/>
      <c r="C79" s="18"/>
      <c r="D79" s="6"/>
      <c r="E79" s="8"/>
      <c r="F79" s="9"/>
      <c r="G79" s="10"/>
      <c r="H79" s="11"/>
    </row>
    <row r="80" spans="1:8" x14ac:dyDescent="0.3">
      <c r="A80" s="5"/>
      <c r="B80" s="6"/>
      <c r="C80" s="18"/>
      <c r="D80" s="6"/>
      <c r="E80" s="8"/>
      <c r="F80" s="9"/>
      <c r="G80" s="10"/>
      <c r="H80" s="11"/>
    </row>
    <row r="81" spans="1:8" x14ac:dyDescent="0.3">
      <c r="A81" s="5"/>
      <c r="B81" s="6"/>
      <c r="C81" s="18"/>
      <c r="D81" s="6"/>
      <c r="E81" s="8"/>
      <c r="F81" s="9"/>
      <c r="G81" s="10"/>
      <c r="H81" s="11"/>
    </row>
    <row r="82" spans="1:8" x14ac:dyDescent="0.3">
      <c r="A82" s="5"/>
      <c r="B82" s="6"/>
      <c r="C82" s="18"/>
      <c r="D82" s="6"/>
      <c r="E82" s="8"/>
      <c r="F82" s="9"/>
      <c r="G82" s="10"/>
      <c r="H82" s="11"/>
    </row>
    <row r="83" spans="1:8" x14ac:dyDescent="0.3">
      <c r="A83" s="5"/>
      <c r="B83" s="6"/>
      <c r="C83" s="18"/>
      <c r="D83" s="6"/>
      <c r="E83" s="8"/>
      <c r="F83" s="9"/>
      <c r="G83" s="10"/>
      <c r="H83" s="11"/>
    </row>
    <row r="84" spans="1:8" x14ac:dyDescent="0.3">
      <c r="A84" s="5"/>
      <c r="B84" s="6"/>
      <c r="C84" s="18"/>
      <c r="D84" s="6"/>
      <c r="E84" s="8"/>
      <c r="F84" s="9"/>
      <c r="G84" s="10"/>
      <c r="H84" s="11"/>
    </row>
    <row r="85" spans="1:8" x14ac:dyDescent="0.3">
      <c r="A85" s="5"/>
      <c r="B85" s="6"/>
      <c r="C85" s="18"/>
      <c r="D85" s="6"/>
      <c r="E85" s="8"/>
      <c r="F85" s="9"/>
      <c r="G85" s="10"/>
      <c r="H85" s="11"/>
    </row>
  </sheetData>
  <mergeCells count="24">
    <mergeCell ref="A20:A22"/>
    <mergeCell ref="G20:G22"/>
    <mergeCell ref="H20:H22"/>
    <mergeCell ref="A23:A25"/>
    <mergeCell ref="G23:G25"/>
    <mergeCell ref="H23:H25"/>
    <mergeCell ref="G14:G16"/>
    <mergeCell ref="H14:H16"/>
    <mergeCell ref="A17:A19"/>
    <mergeCell ref="G17:G19"/>
    <mergeCell ref="H17:H19"/>
    <mergeCell ref="A14:A16"/>
    <mergeCell ref="A2:A4"/>
    <mergeCell ref="G2:G4"/>
    <mergeCell ref="H2:H4"/>
    <mergeCell ref="A5:A7"/>
    <mergeCell ref="G5:G7"/>
    <mergeCell ref="H5:H7"/>
    <mergeCell ref="A8:A10"/>
    <mergeCell ref="G8:G10"/>
    <mergeCell ref="H8:H10"/>
    <mergeCell ref="A11:A13"/>
    <mergeCell ref="G11:G13"/>
    <mergeCell ref="H11:H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1"/>
  <sheetViews>
    <sheetView topLeftCell="H1" workbookViewId="0">
      <selection activeCell="Y1" sqref="Y1"/>
    </sheetView>
  </sheetViews>
  <sheetFormatPr defaultRowHeight="14.4" x14ac:dyDescent="0.3"/>
  <sheetData>
    <row r="1" spans="1:26" ht="86.4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6</v>
      </c>
      <c r="J1" s="1" t="s">
        <v>0</v>
      </c>
      <c r="K1" s="1" t="s">
        <v>1</v>
      </c>
      <c r="L1" s="2" t="s">
        <v>2</v>
      </c>
      <c r="M1" s="1" t="s">
        <v>3</v>
      </c>
      <c r="N1" s="1" t="s">
        <v>4</v>
      </c>
      <c r="O1" s="1" t="s">
        <v>5</v>
      </c>
      <c r="P1" s="1" t="s">
        <v>40</v>
      </c>
      <c r="Q1" s="1" t="s">
        <v>6</v>
      </c>
      <c r="S1" s="1" t="s">
        <v>0</v>
      </c>
      <c r="T1" s="1" t="s">
        <v>1</v>
      </c>
      <c r="U1" s="2" t="s">
        <v>2</v>
      </c>
      <c r="V1" s="1" t="s">
        <v>3</v>
      </c>
      <c r="W1" s="1" t="s">
        <v>4</v>
      </c>
      <c r="X1" s="1" t="s">
        <v>5</v>
      </c>
      <c r="Y1" s="1" t="s">
        <v>40</v>
      </c>
      <c r="Z1" s="1" t="s">
        <v>6</v>
      </c>
    </row>
    <row r="2" spans="1:26" x14ac:dyDescent="0.3">
      <c r="A2" s="21" t="s">
        <v>7</v>
      </c>
      <c r="B2" s="3" t="s">
        <v>8</v>
      </c>
      <c r="C2" s="12">
        <v>25.9</v>
      </c>
      <c r="D2" s="3">
        <v>120</v>
      </c>
      <c r="E2" s="16">
        <f t="shared" ref="E2:E7" si="0">D2/C2</f>
        <v>4.6332046332046337</v>
      </c>
      <c r="F2" s="4">
        <f t="shared" ref="F2:F7" si="1">2.9997*EXP(0.5345*E2)</f>
        <v>35.693198774417937</v>
      </c>
      <c r="G2" s="22">
        <f>AVERAGE(F2:F4)</f>
        <v>25.95179389508553</v>
      </c>
      <c r="H2" s="23" t="str">
        <f>IF(G2&gt;=25,"GOOD","POOR")</f>
        <v>GOOD</v>
      </c>
      <c r="J2" s="21" t="s">
        <v>18</v>
      </c>
      <c r="K2" s="3" t="s">
        <v>8</v>
      </c>
      <c r="L2" s="12">
        <v>32.700000000000003</v>
      </c>
      <c r="M2" s="3">
        <v>120</v>
      </c>
      <c r="N2" s="16">
        <f t="shared" ref="N2:N13" si="2">M2/L2</f>
        <v>3.6697247706422016</v>
      </c>
      <c r="O2" s="4">
        <f t="shared" ref="O2:O13" si="3">2.9997*EXP(0.5345*N2)</f>
        <v>21.327134317028193</v>
      </c>
      <c r="P2" s="22">
        <f>AVERAGE(O2:O4)</f>
        <v>25.704422298607653</v>
      </c>
      <c r="Q2" s="23" t="str">
        <f>IF(P2&gt;=25,"GOOD","POOR")</f>
        <v>GOOD</v>
      </c>
      <c r="S2" s="21" t="s">
        <v>22</v>
      </c>
      <c r="T2" s="3" t="s">
        <v>8</v>
      </c>
      <c r="U2" s="12">
        <v>29.451871399824281</v>
      </c>
      <c r="V2" s="3">
        <v>120</v>
      </c>
      <c r="W2" s="16">
        <f t="shared" ref="W2:W19" si="4">V2/U2</f>
        <v>4.0744439757643365</v>
      </c>
      <c r="X2" s="4">
        <f t="shared" ref="X2:X19" si="5">2.9997*EXP(0.5345*W2)</f>
        <v>26.477692570978633</v>
      </c>
      <c r="Y2" s="22">
        <f>AVERAGE(X2:X4)</f>
        <v>26.0933733459172</v>
      </c>
      <c r="Z2" s="23" t="str">
        <f>IF(Y2&gt;=25,"GOOD","POOR")</f>
        <v>GOOD</v>
      </c>
    </row>
    <row r="3" spans="1:26" x14ac:dyDescent="0.3">
      <c r="A3" s="21"/>
      <c r="B3" s="3" t="s">
        <v>9</v>
      </c>
      <c r="C3" s="12">
        <v>32.6</v>
      </c>
      <c r="D3" s="3">
        <v>120</v>
      </c>
      <c r="E3" s="16">
        <f t="shared" si="0"/>
        <v>3.6809815950920242</v>
      </c>
      <c r="F3" s="4">
        <f t="shared" si="1"/>
        <v>21.455841648977835</v>
      </c>
      <c r="G3" s="22"/>
      <c r="H3" s="23"/>
      <c r="J3" s="21"/>
      <c r="K3" s="3" t="s">
        <v>9</v>
      </c>
      <c r="L3" s="12">
        <v>29.5</v>
      </c>
      <c r="M3" s="3">
        <v>120</v>
      </c>
      <c r="N3" s="16">
        <f t="shared" si="2"/>
        <v>4.0677966101694913</v>
      </c>
      <c r="O3" s="4">
        <f t="shared" si="3"/>
        <v>26.383783810023683</v>
      </c>
      <c r="P3" s="22"/>
      <c r="Q3" s="23"/>
      <c r="S3" s="21"/>
      <c r="T3" s="3" t="s">
        <v>9</v>
      </c>
      <c r="U3" s="12">
        <v>30.449597225128812</v>
      </c>
      <c r="V3" s="3">
        <v>120</v>
      </c>
      <c r="W3" s="16">
        <f t="shared" si="4"/>
        <v>3.9409388279516842</v>
      </c>
      <c r="X3" s="4">
        <f t="shared" si="5"/>
        <v>24.65412149714976</v>
      </c>
      <c r="Y3" s="22"/>
      <c r="Z3" s="23"/>
    </row>
    <row r="4" spans="1:26" x14ac:dyDescent="0.3">
      <c r="A4" s="21"/>
      <c r="B4" s="3" t="s">
        <v>10</v>
      </c>
      <c r="C4" s="12">
        <v>33.200000000000003</v>
      </c>
      <c r="D4" s="3">
        <v>120</v>
      </c>
      <c r="E4" s="16">
        <f t="shared" si="0"/>
        <v>3.6144578313253009</v>
      </c>
      <c r="F4" s="4">
        <f t="shared" si="1"/>
        <v>20.706341261860814</v>
      </c>
      <c r="G4" s="22"/>
      <c r="H4" s="23"/>
      <c r="J4" s="21"/>
      <c r="K4" s="3" t="s">
        <v>10</v>
      </c>
      <c r="L4" s="12">
        <v>28.1</v>
      </c>
      <c r="M4" s="3">
        <v>120</v>
      </c>
      <c r="N4" s="16">
        <f t="shared" si="2"/>
        <v>4.2704626334519569</v>
      </c>
      <c r="O4" s="4">
        <f t="shared" si="3"/>
        <v>29.402348768771091</v>
      </c>
      <c r="P4" s="22"/>
      <c r="Q4" s="23"/>
      <c r="S4" s="21"/>
      <c r="T4" s="3" t="s">
        <v>10</v>
      </c>
      <c r="U4" s="12">
        <v>29.117455566324125</v>
      </c>
      <c r="V4" s="3">
        <v>120</v>
      </c>
      <c r="W4" s="16">
        <f t="shared" si="4"/>
        <v>4.1212392245834257</v>
      </c>
      <c r="X4" s="4">
        <f t="shared" si="5"/>
        <v>27.148305969623216</v>
      </c>
      <c r="Y4" s="22"/>
      <c r="Z4" s="23"/>
    </row>
    <row r="5" spans="1:26" x14ac:dyDescent="0.3">
      <c r="A5" s="21" t="s">
        <v>11</v>
      </c>
      <c r="B5" s="3" t="s">
        <v>8</v>
      </c>
      <c r="C5" s="12">
        <v>30.407975488239209</v>
      </c>
      <c r="D5" s="3">
        <v>120</v>
      </c>
      <c r="E5" s="16">
        <f t="shared" si="0"/>
        <v>3.9463330943032364</v>
      </c>
      <c r="F5" s="4">
        <f t="shared" si="1"/>
        <v>24.725307706124088</v>
      </c>
      <c r="G5" s="22">
        <f t="shared" ref="G5" si="6">AVERAGE(F5:F7)</f>
        <v>25.173914685595701</v>
      </c>
      <c r="H5" s="23" t="str">
        <f t="shared" ref="H5" si="7">IF(G5&gt;=25,"GOOD","POOR")</f>
        <v>GOOD</v>
      </c>
      <c r="J5" s="21" t="s">
        <v>19</v>
      </c>
      <c r="K5" s="3" t="s">
        <v>8</v>
      </c>
      <c r="L5" s="12">
        <v>30.376618981076231</v>
      </c>
      <c r="M5" s="3">
        <v>120</v>
      </c>
      <c r="N5" s="16">
        <f t="shared" si="2"/>
        <v>3.9504067281074495</v>
      </c>
      <c r="O5" s="4">
        <f t="shared" si="3"/>
        <v>24.779202187047844</v>
      </c>
      <c r="P5" s="22">
        <f t="shared" ref="P5" si="8">AVERAGE(O5:O7)</f>
        <v>25.835366893406871</v>
      </c>
      <c r="Q5" s="23" t="str">
        <f t="shared" ref="Q5" si="9">IF(P5&gt;=25,"GOOD","POOR")</f>
        <v>GOOD</v>
      </c>
      <c r="S5" s="21" t="s">
        <v>23</v>
      </c>
      <c r="T5" s="3" t="s">
        <v>8</v>
      </c>
      <c r="U5" s="12">
        <v>29.142983616562859</v>
      </c>
      <c r="V5" s="3">
        <v>120</v>
      </c>
      <c r="W5" s="16">
        <f t="shared" si="4"/>
        <v>4.1176291892021748</v>
      </c>
      <c r="X5" s="4">
        <f t="shared" si="5"/>
        <v>27.095972085196774</v>
      </c>
      <c r="Y5" s="22">
        <f t="shared" ref="Y5" si="10">AVERAGE(X5:X7)</f>
        <v>26.450357690839297</v>
      </c>
      <c r="Z5" s="23" t="str">
        <f t="shared" ref="Z5" si="11">IF(Y5&gt;=25,"GOOD","POOR")</f>
        <v>GOOD</v>
      </c>
    </row>
    <row r="6" spans="1:26" x14ac:dyDescent="0.3">
      <c r="A6" s="21"/>
      <c r="B6" s="3" t="s">
        <v>9</v>
      </c>
      <c r="C6" s="12">
        <v>30.1</v>
      </c>
      <c r="D6" s="3">
        <v>120</v>
      </c>
      <c r="E6" s="16">
        <f t="shared" si="0"/>
        <v>3.9867109634551494</v>
      </c>
      <c r="F6" s="4">
        <f t="shared" si="1"/>
        <v>25.264728526271583</v>
      </c>
      <c r="G6" s="22"/>
      <c r="H6" s="23"/>
      <c r="J6" s="21"/>
      <c r="K6" s="3" t="s">
        <v>9</v>
      </c>
      <c r="L6" s="12">
        <v>29.823290130309925</v>
      </c>
      <c r="M6" s="3">
        <v>120</v>
      </c>
      <c r="N6" s="16">
        <f t="shared" si="2"/>
        <v>4.0237009221877207</v>
      </c>
      <c r="O6" s="4">
        <f t="shared" si="3"/>
        <v>25.76921149935723</v>
      </c>
      <c r="P6" s="22"/>
      <c r="Q6" s="23"/>
      <c r="S6" s="21"/>
      <c r="T6" s="3" t="s">
        <v>9</v>
      </c>
      <c r="U6" s="12">
        <v>29.34108761382851</v>
      </c>
      <c r="V6" s="3">
        <v>120</v>
      </c>
      <c r="W6" s="16">
        <f t="shared" si="4"/>
        <v>4.0898279429643152</v>
      </c>
      <c r="X6" s="4">
        <f t="shared" si="5"/>
        <v>26.696309080952858</v>
      </c>
      <c r="Y6" s="22"/>
      <c r="Z6" s="23"/>
    </row>
    <row r="7" spans="1:26" x14ac:dyDescent="0.3">
      <c r="A7" s="21"/>
      <c r="B7" s="3" t="s">
        <v>10</v>
      </c>
      <c r="C7" s="12">
        <v>29.952243960749851</v>
      </c>
      <c r="D7" s="3">
        <v>120</v>
      </c>
      <c r="E7" s="16">
        <f t="shared" si="0"/>
        <v>4.0063776242357978</v>
      </c>
      <c r="F7" s="4">
        <f t="shared" si="1"/>
        <v>25.531707824391439</v>
      </c>
      <c r="G7" s="22"/>
      <c r="H7" s="23"/>
      <c r="J7" s="21"/>
      <c r="K7" s="3" t="s">
        <v>10</v>
      </c>
      <c r="L7" s="12">
        <v>29.21089320516133</v>
      </c>
      <c r="M7" s="3">
        <v>120</v>
      </c>
      <c r="N7" s="16">
        <f t="shared" si="2"/>
        <v>4.10805651019247</v>
      </c>
      <c r="O7" s="4">
        <f t="shared" si="3"/>
        <v>26.95768699381555</v>
      </c>
      <c r="P7" s="22"/>
      <c r="Q7" s="23"/>
      <c r="S7" s="21"/>
      <c r="T7" s="3" t="s">
        <v>10</v>
      </c>
      <c r="U7" s="12">
        <v>29.937421551268422</v>
      </c>
      <c r="V7" s="3">
        <v>120</v>
      </c>
      <c r="W7" s="16">
        <f t="shared" si="4"/>
        <v>4.0083612342665402</v>
      </c>
      <c r="X7" s="4">
        <f t="shared" si="5"/>
        <v>25.55879190636826</v>
      </c>
      <c r="Y7" s="22"/>
      <c r="Z7" s="23"/>
    </row>
    <row r="8" spans="1:26" x14ac:dyDescent="0.3">
      <c r="A8" s="5"/>
      <c r="B8" s="6"/>
      <c r="C8" s="18"/>
      <c r="D8" s="6"/>
      <c r="E8" s="8"/>
      <c r="F8" s="9"/>
      <c r="G8" s="10"/>
      <c r="H8" s="11"/>
      <c r="J8" s="21" t="s">
        <v>20</v>
      </c>
      <c r="K8" s="3" t="s">
        <v>8</v>
      </c>
      <c r="L8" s="12">
        <v>32.799999999999997</v>
      </c>
      <c r="M8" s="3">
        <v>120</v>
      </c>
      <c r="N8" s="16">
        <f t="shared" si="2"/>
        <v>3.6585365853658538</v>
      </c>
      <c r="O8" s="4">
        <f t="shared" si="3"/>
        <v>21.199976825611262</v>
      </c>
      <c r="P8" s="22">
        <f t="shared" ref="P8" si="12">AVERAGE(O8:O10)</f>
        <v>25.434562202213272</v>
      </c>
      <c r="Q8" s="23" t="str">
        <f t="shared" ref="Q8" si="13">IF(P8&gt;=25,"GOOD","POOR")</f>
        <v>GOOD</v>
      </c>
      <c r="S8" s="21" t="s">
        <v>24</v>
      </c>
      <c r="T8" s="3" t="s">
        <v>8</v>
      </c>
      <c r="U8" s="12">
        <v>29.313981740187401</v>
      </c>
      <c r="V8" s="3">
        <v>120</v>
      </c>
      <c r="W8" s="16">
        <f t="shared" si="4"/>
        <v>4.0936097000936744</v>
      </c>
      <c r="X8" s="4">
        <f t="shared" si="5"/>
        <v>26.750326218930056</v>
      </c>
      <c r="Y8" s="22">
        <f t="shared" ref="Y8" si="14">AVERAGE(X8:X10)</f>
        <v>25.306882890376169</v>
      </c>
      <c r="Z8" s="23" t="str">
        <f t="shared" ref="Z8" si="15">IF(Y8&gt;=25,"GOOD","POOR")</f>
        <v>GOOD</v>
      </c>
    </row>
    <row r="9" spans="1:26" x14ac:dyDescent="0.3">
      <c r="A9" s="5"/>
      <c r="B9" s="6"/>
      <c r="C9" s="18"/>
      <c r="D9" s="6"/>
      <c r="E9" s="8"/>
      <c r="F9" s="9"/>
      <c r="G9" s="10"/>
      <c r="H9" s="11"/>
      <c r="J9" s="21"/>
      <c r="K9" s="3" t="s">
        <v>9</v>
      </c>
      <c r="L9" s="12">
        <v>30.72073383633877</v>
      </c>
      <c r="M9" s="3">
        <v>120</v>
      </c>
      <c r="N9" s="16">
        <f t="shared" si="2"/>
        <v>3.9061566901131468</v>
      </c>
      <c r="O9" s="4">
        <f t="shared" si="3"/>
        <v>24.200009713170772</v>
      </c>
      <c r="P9" s="22"/>
      <c r="Q9" s="23"/>
      <c r="S9" s="21"/>
      <c r="T9" s="3" t="s">
        <v>9</v>
      </c>
      <c r="U9" s="12">
        <v>30.229635170799902</v>
      </c>
      <c r="V9" s="3">
        <v>120</v>
      </c>
      <c r="W9" s="16">
        <f t="shared" si="4"/>
        <v>3.9696145627292627</v>
      </c>
      <c r="X9" s="4">
        <f t="shared" si="5"/>
        <v>25.034910416535016</v>
      </c>
      <c r="Y9" s="22"/>
      <c r="Z9" s="23"/>
    </row>
    <row r="10" spans="1:26" x14ac:dyDescent="0.3">
      <c r="A10" s="5"/>
      <c r="B10" s="6"/>
      <c r="C10" s="18"/>
      <c r="D10" s="6"/>
      <c r="E10" s="8"/>
      <c r="F10" s="9"/>
      <c r="G10" s="10"/>
      <c r="H10" s="11"/>
      <c r="J10" s="21"/>
      <c r="K10" s="3" t="s">
        <v>10</v>
      </c>
      <c r="L10" s="12">
        <v>27.5</v>
      </c>
      <c r="M10" s="3">
        <v>120</v>
      </c>
      <c r="N10" s="16">
        <f t="shared" si="2"/>
        <v>4.3636363636363633</v>
      </c>
      <c r="O10" s="4">
        <f t="shared" si="3"/>
        <v>30.903700067857791</v>
      </c>
      <c r="P10" s="22"/>
      <c r="Q10" s="23"/>
      <c r="S10" s="21"/>
      <c r="T10" s="3" t="s">
        <v>10</v>
      </c>
      <c r="U10" s="12">
        <v>30.76011351879033</v>
      </c>
      <c r="V10" s="3">
        <v>120</v>
      </c>
      <c r="W10" s="16">
        <f t="shared" si="4"/>
        <v>3.9011559540147989</v>
      </c>
      <c r="X10" s="4">
        <f t="shared" si="5"/>
        <v>24.135412035663435</v>
      </c>
      <c r="Y10" s="22"/>
      <c r="Z10" s="23"/>
    </row>
    <row r="11" spans="1:26" x14ac:dyDescent="0.3">
      <c r="A11" s="5"/>
      <c r="B11" s="6"/>
      <c r="C11" s="18"/>
      <c r="D11" s="6"/>
      <c r="E11" s="8"/>
      <c r="F11" s="9"/>
      <c r="G11" s="10"/>
      <c r="H11" s="11"/>
      <c r="J11" s="21" t="s">
        <v>21</v>
      </c>
      <c r="K11" s="3" t="s">
        <v>8</v>
      </c>
      <c r="L11" s="12">
        <v>29.287704773558747</v>
      </c>
      <c r="M11" s="3">
        <v>120</v>
      </c>
      <c r="N11" s="16">
        <f t="shared" si="2"/>
        <v>4.0972824920147817</v>
      </c>
      <c r="O11" s="4">
        <f t="shared" si="3"/>
        <v>26.802891557940395</v>
      </c>
      <c r="P11" s="22">
        <f t="shared" ref="P11" si="16">AVERAGE(O11:O13)</f>
        <v>26.380290938618117</v>
      </c>
      <c r="Q11" s="23" t="str">
        <f t="shared" ref="Q11" si="17">IF(P11&gt;=25,"GOOD","POOR")</f>
        <v>GOOD</v>
      </c>
      <c r="S11" s="21" t="s">
        <v>25</v>
      </c>
      <c r="T11" s="3" t="s">
        <v>8</v>
      </c>
      <c r="U11" s="12">
        <v>29.169655142114173</v>
      </c>
      <c r="V11" s="3">
        <v>120</v>
      </c>
      <c r="W11" s="16">
        <f t="shared" si="4"/>
        <v>4.1138641994689893</v>
      </c>
      <c r="X11" s="4">
        <f t="shared" si="5"/>
        <v>27.041499331398839</v>
      </c>
      <c r="Y11" s="22">
        <f t="shared" ref="Y11" si="18">AVERAGE(X11:X13)</f>
        <v>25.580990041560653</v>
      </c>
      <c r="Z11" s="23" t="str">
        <f t="shared" ref="Z11" si="19">IF(Y11&gt;=25,"GOOD","POOR")</f>
        <v>GOOD</v>
      </c>
    </row>
    <row r="12" spans="1:26" x14ac:dyDescent="0.3">
      <c r="A12" s="5"/>
      <c r="B12" s="6"/>
      <c r="C12" s="18"/>
      <c r="D12" s="6"/>
      <c r="E12" s="8"/>
      <c r="F12" s="9"/>
      <c r="G12" s="10"/>
      <c r="H12" s="11"/>
      <c r="J12" s="21"/>
      <c r="K12" s="3" t="s">
        <v>9</v>
      </c>
      <c r="L12" s="12">
        <v>30.142247941115755</v>
      </c>
      <c r="M12" s="3">
        <v>120</v>
      </c>
      <c r="N12" s="16">
        <f t="shared" si="2"/>
        <v>3.9811231144546828</v>
      </c>
      <c r="O12" s="4">
        <f t="shared" si="3"/>
        <v>25.18938280165953</v>
      </c>
      <c r="P12" s="22"/>
      <c r="Q12" s="23"/>
      <c r="S12" s="21"/>
      <c r="T12" s="3" t="s">
        <v>9</v>
      </c>
      <c r="U12" s="12">
        <v>30.605846211604081</v>
      </c>
      <c r="V12" s="3">
        <v>120</v>
      </c>
      <c r="W12" s="16">
        <f t="shared" si="4"/>
        <v>3.920819544420977</v>
      </c>
      <c r="X12" s="4">
        <f t="shared" si="5"/>
        <v>24.390417509958322</v>
      </c>
      <c r="Y12" s="22"/>
      <c r="Z12" s="23"/>
    </row>
    <row r="13" spans="1:26" x14ac:dyDescent="0.3">
      <c r="A13" s="5"/>
      <c r="B13" s="6"/>
      <c r="C13" s="18"/>
      <c r="D13" s="6"/>
      <c r="E13" s="8"/>
      <c r="F13" s="9"/>
      <c r="G13" s="10"/>
      <c r="H13" s="11"/>
      <c r="J13" s="21"/>
      <c r="K13" s="3" t="s">
        <v>10</v>
      </c>
      <c r="L13" s="12">
        <v>29.117313157562812</v>
      </c>
      <c r="M13" s="3">
        <v>120</v>
      </c>
      <c r="N13" s="16">
        <f t="shared" si="2"/>
        <v>4.1212593809958626</v>
      </c>
      <c r="O13" s="4">
        <f t="shared" si="3"/>
        <v>27.148598456254419</v>
      </c>
      <c r="P13" s="22"/>
      <c r="Q13" s="23"/>
      <c r="S13" s="21"/>
      <c r="T13" s="3" t="s">
        <v>10</v>
      </c>
      <c r="U13" s="12">
        <v>30.074145776243384</v>
      </c>
      <c r="V13" s="3">
        <v>120</v>
      </c>
      <c r="W13" s="16">
        <f t="shared" si="4"/>
        <v>3.9901382700216934</v>
      </c>
      <c r="X13" s="4">
        <f t="shared" si="5"/>
        <v>25.311053283324789</v>
      </c>
      <c r="Y13" s="22"/>
      <c r="Z13" s="23"/>
    </row>
    <row r="14" spans="1:26" x14ac:dyDescent="0.3">
      <c r="A14" s="5"/>
      <c r="B14" s="6"/>
      <c r="C14" s="18"/>
      <c r="D14" s="6"/>
      <c r="E14" s="8"/>
      <c r="F14" s="9"/>
      <c r="G14" s="10"/>
      <c r="H14" s="11"/>
      <c r="J14" s="5"/>
      <c r="K14" s="6"/>
      <c r="L14" s="17"/>
      <c r="M14" s="6"/>
      <c r="N14" s="8"/>
      <c r="O14" s="9"/>
      <c r="P14" s="10"/>
      <c r="Q14" s="11"/>
      <c r="S14" s="21" t="s">
        <v>26</v>
      </c>
      <c r="T14" s="3" t="s">
        <v>8</v>
      </c>
      <c r="U14" s="12">
        <v>30.848706972992854</v>
      </c>
      <c r="V14" s="3">
        <v>120</v>
      </c>
      <c r="W14" s="16">
        <f t="shared" si="4"/>
        <v>3.8899523440336257</v>
      </c>
      <c r="X14" s="4">
        <f t="shared" si="5"/>
        <v>23.991313121440804</v>
      </c>
      <c r="Y14" s="22">
        <f t="shared" ref="Y14" si="20">AVERAGE(X14:X16)</f>
        <v>25.066524104591739</v>
      </c>
      <c r="Z14" s="23" t="str">
        <f t="shared" ref="Z14" si="21">IF(Y14&gt;=25,"GOOD","POOR")</f>
        <v>GOOD</v>
      </c>
    </row>
    <row r="15" spans="1:26" x14ac:dyDescent="0.3">
      <c r="A15" s="5"/>
      <c r="B15" s="6"/>
      <c r="C15" s="18"/>
      <c r="D15" s="6"/>
      <c r="E15" s="8"/>
      <c r="F15" s="9"/>
      <c r="G15" s="10"/>
      <c r="H15" s="11"/>
      <c r="J15" s="5"/>
      <c r="K15" s="6"/>
      <c r="L15" s="17"/>
      <c r="M15" s="6"/>
      <c r="N15" s="8"/>
      <c r="O15" s="9"/>
      <c r="P15" s="10"/>
      <c r="Q15" s="11"/>
      <c r="S15" s="21"/>
      <c r="T15" s="3" t="s">
        <v>9</v>
      </c>
      <c r="U15" s="12">
        <v>29.516216326427468</v>
      </c>
      <c r="V15" s="3">
        <v>120</v>
      </c>
      <c r="W15" s="16">
        <f t="shared" si="4"/>
        <v>4.0655617465629392</v>
      </c>
      <c r="X15" s="4">
        <f t="shared" si="5"/>
        <v>26.352286283632182</v>
      </c>
      <c r="Y15" s="22"/>
      <c r="Z15" s="23"/>
    </row>
    <row r="16" spans="1:26" x14ac:dyDescent="0.3">
      <c r="A16" s="5"/>
      <c r="B16" s="6"/>
      <c r="C16" s="18"/>
      <c r="D16" s="6"/>
      <c r="E16" s="8"/>
      <c r="F16" s="9"/>
      <c r="G16" s="10"/>
      <c r="H16" s="11"/>
      <c r="J16" s="5"/>
      <c r="K16" s="6"/>
      <c r="L16" s="17"/>
      <c r="M16" s="6"/>
      <c r="N16" s="8"/>
      <c r="O16" s="9"/>
      <c r="P16" s="10"/>
      <c r="Q16" s="11"/>
      <c r="S16" s="21"/>
      <c r="T16" s="3" t="s">
        <v>10</v>
      </c>
      <c r="U16" s="12">
        <v>30.332181387828623</v>
      </c>
      <c r="V16" s="3">
        <v>120</v>
      </c>
      <c r="W16" s="16">
        <f t="shared" si="4"/>
        <v>3.9561941973666404</v>
      </c>
      <c r="X16" s="4">
        <f t="shared" si="5"/>
        <v>24.855972908702231</v>
      </c>
      <c r="Y16" s="22"/>
      <c r="Z16" s="23"/>
    </row>
    <row r="17" spans="1:26" x14ac:dyDescent="0.3">
      <c r="A17" s="5"/>
      <c r="B17" s="6"/>
      <c r="C17" s="18"/>
      <c r="D17" s="6"/>
      <c r="E17" s="8"/>
      <c r="F17" s="9"/>
      <c r="G17" s="10"/>
      <c r="H17" s="11"/>
      <c r="J17" s="5"/>
      <c r="K17" s="6"/>
      <c r="L17" s="17"/>
      <c r="M17" s="6"/>
      <c r="N17" s="8"/>
      <c r="O17" s="9"/>
      <c r="P17" s="10"/>
      <c r="Q17" s="11"/>
      <c r="S17" s="21" t="s">
        <v>27</v>
      </c>
      <c r="T17" s="3" t="s">
        <v>8</v>
      </c>
      <c r="U17" s="12">
        <v>29.091359615088074</v>
      </c>
      <c r="V17" s="3">
        <v>120</v>
      </c>
      <c r="W17" s="16">
        <f t="shared" si="4"/>
        <v>4.124936118068633</v>
      </c>
      <c r="X17" s="4">
        <f t="shared" si="5"/>
        <v>27.202003774683039</v>
      </c>
      <c r="Y17" s="22">
        <f>AVERAGE(X17:X19)</f>
        <v>26.036583305331167</v>
      </c>
      <c r="Z17" s="23" t="str">
        <f>IF(Y17&gt;=25,"GOOD","POOR")</f>
        <v>GOOD</v>
      </c>
    </row>
    <row r="18" spans="1:26" x14ac:dyDescent="0.3">
      <c r="A18" s="5"/>
      <c r="B18" s="6"/>
      <c r="C18" s="18"/>
      <c r="D18" s="6"/>
      <c r="E18" s="8"/>
      <c r="F18" s="9"/>
      <c r="G18" s="10"/>
      <c r="H18" s="11"/>
      <c r="J18" s="5"/>
      <c r="K18" s="6"/>
      <c r="L18" s="17"/>
      <c r="M18" s="6"/>
      <c r="N18" s="8"/>
      <c r="O18" s="9"/>
      <c r="P18" s="10"/>
      <c r="Q18" s="11"/>
      <c r="S18" s="21"/>
      <c r="T18" s="3" t="s">
        <v>9</v>
      </c>
      <c r="U18" s="12">
        <v>29.95202660854369</v>
      </c>
      <c r="V18" s="3">
        <v>120</v>
      </c>
      <c r="W18" s="16">
        <f t="shared" si="4"/>
        <v>4.0064066972273089</v>
      </c>
      <c r="X18" s="4">
        <f t="shared" si="5"/>
        <v>25.53210457780434</v>
      </c>
      <c r="Y18" s="22"/>
      <c r="Z18" s="23"/>
    </row>
    <row r="19" spans="1:26" x14ac:dyDescent="0.3">
      <c r="A19" s="5"/>
      <c r="B19" s="6"/>
      <c r="C19" s="18"/>
      <c r="D19" s="6"/>
      <c r="E19" s="8"/>
      <c r="F19" s="9"/>
      <c r="G19" s="10"/>
      <c r="H19" s="11"/>
      <c r="J19" s="5"/>
      <c r="K19" s="6"/>
      <c r="L19" s="17"/>
      <c r="M19" s="6"/>
      <c r="N19" s="8"/>
      <c r="O19" s="9"/>
      <c r="P19" s="10"/>
      <c r="Q19" s="11"/>
      <c r="S19" s="21"/>
      <c r="T19" s="3" t="s">
        <v>10</v>
      </c>
      <c r="U19" s="12">
        <v>30.038251188643834</v>
      </c>
      <c r="V19" s="3">
        <v>120</v>
      </c>
      <c r="W19" s="16">
        <f t="shared" si="4"/>
        <v>3.9949063361373987</v>
      </c>
      <c r="X19" s="4">
        <f t="shared" si="5"/>
        <v>25.375641563506118</v>
      </c>
      <c r="Y19" s="22"/>
      <c r="Z19" s="23"/>
    </row>
    <row r="20" spans="1:26" x14ac:dyDescent="0.3">
      <c r="A20" s="5"/>
      <c r="B20" s="6"/>
      <c r="C20" s="18"/>
      <c r="D20" s="6"/>
      <c r="E20" s="8"/>
      <c r="F20" s="9"/>
      <c r="G20" s="10"/>
      <c r="H20" s="11"/>
      <c r="J20" s="5"/>
      <c r="K20" s="6"/>
      <c r="L20" s="17"/>
      <c r="M20" s="6"/>
      <c r="N20" s="8"/>
      <c r="O20" s="9"/>
      <c r="P20" s="10"/>
      <c r="Q20" s="11"/>
      <c r="S20" s="21" t="s">
        <v>36</v>
      </c>
      <c r="T20" s="3" t="s">
        <v>8</v>
      </c>
      <c r="U20" s="12">
        <v>29.350159898525508</v>
      </c>
      <c r="V20" s="3">
        <v>120</v>
      </c>
      <c r="W20" s="16">
        <f t="shared" ref="W20:W22" si="22">V20/U20</f>
        <v>4.0885637562072894</v>
      </c>
      <c r="X20" s="4">
        <f t="shared" ref="X20:X22" si="23">2.9997*EXP(0.5345*W20)</f>
        <v>26.678276269240278</v>
      </c>
      <c r="Y20" s="22">
        <f>AVERAGE(X20:X22)</f>
        <v>25.747702766876262</v>
      </c>
      <c r="Z20" s="23" t="str">
        <f>IF(Y20&gt;=25,"GOOD","POOR")</f>
        <v>GOOD</v>
      </c>
    </row>
    <row r="21" spans="1:26" x14ac:dyDescent="0.3">
      <c r="A21" s="5"/>
      <c r="B21" s="6"/>
      <c r="C21" s="18"/>
      <c r="D21" s="6"/>
      <c r="E21" s="8"/>
      <c r="F21" s="9"/>
      <c r="G21" s="10"/>
      <c r="H21" s="11"/>
      <c r="J21" s="5"/>
      <c r="K21" s="6"/>
      <c r="L21" s="17"/>
      <c r="M21" s="6"/>
      <c r="N21" s="8"/>
      <c r="O21" s="9"/>
      <c r="P21" s="10"/>
      <c r="Q21" s="11"/>
      <c r="S21" s="21"/>
      <c r="T21" s="3" t="s">
        <v>9</v>
      </c>
      <c r="U21" s="12">
        <v>30.879657760211472</v>
      </c>
      <c r="V21" s="3">
        <v>120</v>
      </c>
      <c r="W21" s="16">
        <f t="shared" si="22"/>
        <v>3.8860534314153035</v>
      </c>
      <c r="X21" s="4">
        <f t="shared" si="23"/>
        <v>23.941368033634674</v>
      </c>
      <c r="Y21" s="22"/>
      <c r="Z21" s="23"/>
    </row>
    <row r="22" spans="1:26" x14ac:dyDescent="0.3">
      <c r="A22" s="5"/>
      <c r="B22" s="6"/>
      <c r="C22" s="18"/>
      <c r="D22" s="6"/>
      <c r="E22" s="8"/>
      <c r="F22" s="9"/>
      <c r="G22" s="10"/>
      <c r="H22" s="11"/>
      <c r="J22" s="5"/>
      <c r="K22" s="6"/>
      <c r="L22" s="17"/>
      <c r="M22" s="6"/>
      <c r="N22" s="8"/>
      <c r="O22" s="9"/>
      <c r="P22" s="10"/>
      <c r="Q22" s="11"/>
      <c r="S22" s="21"/>
      <c r="T22" s="3" t="s">
        <v>10</v>
      </c>
      <c r="U22" s="12">
        <v>29.377808136977613</v>
      </c>
      <c r="V22" s="3">
        <v>120</v>
      </c>
      <c r="W22" s="16">
        <f t="shared" si="22"/>
        <v>4.0847158998549302</v>
      </c>
      <c r="X22" s="4">
        <f t="shared" si="23"/>
        <v>26.623463997753841</v>
      </c>
      <c r="Y22" s="22"/>
      <c r="Z22" s="23"/>
    </row>
    <row r="23" spans="1:26" x14ac:dyDescent="0.3">
      <c r="A23" s="5"/>
      <c r="B23" s="6"/>
      <c r="C23" s="17"/>
      <c r="D23" s="6"/>
      <c r="E23" s="8"/>
      <c r="F23" s="9"/>
      <c r="G23" s="10"/>
      <c r="H23" s="11"/>
    </row>
    <row r="24" spans="1:26" x14ac:dyDescent="0.3">
      <c r="A24" s="5"/>
      <c r="B24" s="6"/>
      <c r="C24" s="17"/>
      <c r="D24" s="6"/>
      <c r="E24" s="8"/>
      <c r="F24" s="9"/>
      <c r="G24" s="10"/>
      <c r="H24" s="11"/>
    </row>
    <row r="25" spans="1:26" x14ac:dyDescent="0.3">
      <c r="A25" s="5"/>
      <c r="B25" s="6"/>
      <c r="C25" s="17"/>
      <c r="D25" s="6"/>
      <c r="E25" s="8"/>
      <c r="F25" s="9"/>
      <c r="G25" s="10"/>
      <c r="H25" s="11"/>
    </row>
    <row r="26" spans="1:26" x14ac:dyDescent="0.3">
      <c r="A26" s="5"/>
      <c r="B26" s="6"/>
      <c r="C26" s="17"/>
      <c r="D26" s="6"/>
      <c r="E26" s="8"/>
      <c r="F26" s="9"/>
      <c r="G26" s="10"/>
      <c r="H26" s="11"/>
    </row>
    <row r="27" spans="1:26" x14ac:dyDescent="0.3">
      <c r="A27" s="5"/>
      <c r="B27" s="6"/>
      <c r="C27" s="17"/>
      <c r="D27" s="6"/>
      <c r="E27" s="8"/>
      <c r="F27" s="9"/>
      <c r="G27" s="10"/>
      <c r="H27" s="11"/>
    </row>
    <row r="28" spans="1:26" x14ac:dyDescent="0.3">
      <c r="A28" s="5"/>
      <c r="B28" s="6"/>
      <c r="C28" s="17"/>
      <c r="D28" s="6"/>
      <c r="E28" s="8"/>
      <c r="F28" s="9"/>
      <c r="G28" s="10"/>
      <c r="H28" s="11"/>
    </row>
    <row r="29" spans="1:26" x14ac:dyDescent="0.3">
      <c r="A29" s="5"/>
      <c r="B29" s="6"/>
      <c r="C29" s="7"/>
      <c r="D29" s="6"/>
      <c r="E29" s="8"/>
      <c r="F29" s="9"/>
      <c r="G29" s="10"/>
      <c r="H29" s="11"/>
    </row>
    <row r="30" spans="1:26" x14ac:dyDescent="0.3">
      <c r="A30" s="5"/>
      <c r="B30" s="6"/>
      <c r="C30" s="7"/>
      <c r="D30" s="6"/>
      <c r="E30" s="8"/>
      <c r="F30" s="9"/>
      <c r="G30" s="10"/>
      <c r="H30" s="11"/>
    </row>
    <row r="31" spans="1:26" x14ac:dyDescent="0.3">
      <c r="A31" s="5"/>
      <c r="B31" s="6"/>
      <c r="C31" s="7"/>
      <c r="D31" s="6"/>
      <c r="E31" s="8"/>
      <c r="F31" s="9"/>
      <c r="G31" s="10"/>
      <c r="H31" s="11"/>
    </row>
  </sheetData>
  <mergeCells count="39">
    <mergeCell ref="Z20:Z22"/>
    <mergeCell ref="S20:S22"/>
    <mergeCell ref="Y20:Y22"/>
    <mergeCell ref="S14:S16"/>
    <mergeCell ref="Y14:Y16"/>
    <mergeCell ref="Z14:Z16"/>
    <mergeCell ref="S17:S19"/>
    <mergeCell ref="Y17:Y19"/>
    <mergeCell ref="Z17:Z19"/>
    <mergeCell ref="S8:S10"/>
    <mergeCell ref="Y8:Y10"/>
    <mergeCell ref="Z8:Z10"/>
    <mergeCell ref="S11:S13"/>
    <mergeCell ref="Y11:Y13"/>
    <mergeCell ref="Z11:Z13"/>
    <mergeCell ref="S2:S4"/>
    <mergeCell ref="Y2:Y4"/>
    <mergeCell ref="Z2:Z4"/>
    <mergeCell ref="S5:S7"/>
    <mergeCell ref="Y5:Y7"/>
    <mergeCell ref="Z5:Z7"/>
    <mergeCell ref="J8:J10"/>
    <mergeCell ref="P8:P10"/>
    <mergeCell ref="Q8:Q10"/>
    <mergeCell ref="J11:J13"/>
    <mergeCell ref="P11:P13"/>
    <mergeCell ref="Q11:Q13"/>
    <mergeCell ref="J2:J4"/>
    <mergeCell ref="P2:P4"/>
    <mergeCell ref="Q2:Q4"/>
    <mergeCell ref="J5:J7"/>
    <mergeCell ref="P5:P7"/>
    <mergeCell ref="Q5:Q7"/>
    <mergeCell ref="A2:A4"/>
    <mergeCell ref="G2:G4"/>
    <mergeCell ref="H2:H4"/>
    <mergeCell ref="A5:A7"/>
    <mergeCell ref="G5:G7"/>
    <mergeCell ref="H5:H7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FC98-D9D9-45B4-9201-EF9968F578F8}">
  <dimension ref="A1:Z31"/>
  <sheetViews>
    <sheetView topLeftCell="H1" workbookViewId="0">
      <selection activeCell="Y1" sqref="Y1"/>
    </sheetView>
  </sheetViews>
  <sheetFormatPr defaultRowHeight="14.4" x14ac:dyDescent="0.3"/>
  <sheetData>
    <row r="1" spans="1:26" ht="86.4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6</v>
      </c>
      <c r="J1" s="1" t="s">
        <v>0</v>
      </c>
      <c r="K1" s="1" t="s">
        <v>1</v>
      </c>
      <c r="L1" s="2" t="s">
        <v>2</v>
      </c>
      <c r="M1" s="1" t="s">
        <v>3</v>
      </c>
      <c r="N1" s="1" t="s">
        <v>4</v>
      </c>
      <c r="O1" s="1" t="s">
        <v>5</v>
      </c>
      <c r="P1" s="1" t="s">
        <v>40</v>
      </c>
      <c r="Q1" s="1" t="s">
        <v>6</v>
      </c>
      <c r="S1" s="1" t="s">
        <v>0</v>
      </c>
      <c r="T1" s="1" t="s">
        <v>1</v>
      </c>
      <c r="U1" s="2" t="s">
        <v>2</v>
      </c>
      <c r="V1" s="1" t="s">
        <v>3</v>
      </c>
      <c r="W1" s="1" t="s">
        <v>4</v>
      </c>
      <c r="X1" s="1" t="s">
        <v>5</v>
      </c>
      <c r="Y1" s="1" t="s">
        <v>40</v>
      </c>
      <c r="Z1" s="1" t="s">
        <v>6</v>
      </c>
    </row>
    <row r="2" spans="1:26" x14ac:dyDescent="0.3">
      <c r="A2" s="21" t="s">
        <v>7</v>
      </c>
      <c r="B2" s="3" t="s">
        <v>8</v>
      </c>
      <c r="C2" s="12">
        <v>25.9</v>
      </c>
      <c r="D2" s="3">
        <v>120</v>
      </c>
      <c r="E2" s="16">
        <f t="shared" ref="E2:E7" si="0">D2/C2</f>
        <v>4.6332046332046337</v>
      </c>
      <c r="F2" s="4">
        <f t="shared" ref="F2:F7" si="1">2.9997*EXP(0.5345*E2)</f>
        <v>35.693198774417937</v>
      </c>
      <c r="G2" s="22">
        <f>AVERAGE(F2:F4)</f>
        <v>25.95179389508553</v>
      </c>
      <c r="H2" s="23" t="str">
        <f>IF(G2&gt;=25,"GOOD","POOR")</f>
        <v>GOOD</v>
      </c>
      <c r="J2" s="21" t="s">
        <v>18</v>
      </c>
      <c r="K2" s="3" t="s">
        <v>8</v>
      </c>
      <c r="L2" s="12">
        <v>32.700000000000003</v>
      </c>
      <c r="M2" s="3">
        <v>120</v>
      </c>
      <c r="N2" s="16">
        <f t="shared" ref="N2:N13" si="2">M2/L2</f>
        <v>3.6697247706422016</v>
      </c>
      <c r="O2" s="4">
        <f t="shared" ref="O2:O13" si="3">2.9997*EXP(0.5345*N2)</f>
        <v>21.327134317028193</v>
      </c>
      <c r="P2" s="22">
        <f>AVERAGE(O2:O4)</f>
        <v>25.704422298607653</v>
      </c>
      <c r="Q2" s="23" t="str">
        <f>IF(P2&gt;=25,"GOOD","POOR")</f>
        <v>GOOD</v>
      </c>
      <c r="S2" s="21" t="s">
        <v>22</v>
      </c>
      <c r="T2" s="3" t="s">
        <v>8</v>
      </c>
      <c r="U2" s="12">
        <v>29.451871399824281</v>
      </c>
      <c r="V2" s="3">
        <v>120</v>
      </c>
      <c r="W2" s="16">
        <f t="shared" ref="W2:W22" si="4">V2/U2</f>
        <v>4.0744439757643365</v>
      </c>
      <c r="X2" s="4">
        <f t="shared" ref="X2:X22" si="5">2.9997*EXP(0.5345*W2)</f>
        <v>26.477692570978633</v>
      </c>
      <c r="Y2" s="22">
        <f>AVERAGE(X2:X4)</f>
        <v>26.0933733459172</v>
      </c>
      <c r="Z2" s="23" t="str">
        <f>IF(Y2&gt;=25,"GOOD","POOR")</f>
        <v>GOOD</v>
      </c>
    </row>
    <row r="3" spans="1:26" x14ac:dyDescent="0.3">
      <c r="A3" s="21"/>
      <c r="B3" s="3" t="s">
        <v>9</v>
      </c>
      <c r="C3" s="12">
        <v>32.6</v>
      </c>
      <c r="D3" s="3">
        <v>120</v>
      </c>
      <c r="E3" s="16">
        <f t="shared" si="0"/>
        <v>3.6809815950920242</v>
      </c>
      <c r="F3" s="4">
        <f t="shared" si="1"/>
        <v>21.455841648977835</v>
      </c>
      <c r="G3" s="22"/>
      <c r="H3" s="23"/>
      <c r="J3" s="21"/>
      <c r="K3" s="3" t="s">
        <v>9</v>
      </c>
      <c r="L3" s="12">
        <v>29.5</v>
      </c>
      <c r="M3" s="3">
        <v>120</v>
      </c>
      <c r="N3" s="16">
        <f t="shared" si="2"/>
        <v>4.0677966101694913</v>
      </c>
      <c r="O3" s="4">
        <f t="shared" si="3"/>
        <v>26.383783810023683</v>
      </c>
      <c r="P3" s="22"/>
      <c r="Q3" s="23"/>
      <c r="S3" s="21"/>
      <c r="T3" s="3" t="s">
        <v>9</v>
      </c>
      <c r="U3" s="12">
        <v>30.449597225128812</v>
      </c>
      <c r="V3" s="3">
        <v>120</v>
      </c>
      <c r="W3" s="16">
        <f t="shared" si="4"/>
        <v>3.9409388279516842</v>
      </c>
      <c r="X3" s="4">
        <f t="shared" si="5"/>
        <v>24.65412149714976</v>
      </c>
      <c r="Y3" s="22"/>
      <c r="Z3" s="23"/>
    </row>
    <row r="4" spans="1:26" x14ac:dyDescent="0.3">
      <c r="A4" s="21"/>
      <c r="B4" s="3" t="s">
        <v>10</v>
      </c>
      <c r="C4" s="12">
        <v>33.200000000000003</v>
      </c>
      <c r="D4" s="3">
        <v>120</v>
      </c>
      <c r="E4" s="16">
        <f t="shared" si="0"/>
        <v>3.6144578313253009</v>
      </c>
      <c r="F4" s="4">
        <f t="shared" si="1"/>
        <v>20.706341261860814</v>
      </c>
      <c r="G4" s="22"/>
      <c r="H4" s="23"/>
      <c r="J4" s="21"/>
      <c r="K4" s="3" t="s">
        <v>10</v>
      </c>
      <c r="L4" s="12">
        <v>28.1</v>
      </c>
      <c r="M4" s="3">
        <v>120</v>
      </c>
      <c r="N4" s="16">
        <f t="shared" si="2"/>
        <v>4.2704626334519569</v>
      </c>
      <c r="O4" s="4">
        <f t="shared" si="3"/>
        <v>29.402348768771091</v>
      </c>
      <c r="P4" s="22"/>
      <c r="Q4" s="23"/>
      <c r="S4" s="21"/>
      <c r="T4" s="3" t="s">
        <v>10</v>
      </c>
      <c r="U4" s="12">
        <v>29.117455566324125</v>
      </c>
      <c r="V4" s="3">
        <v>120</v>
      </c>
      <c r="W4" s="16">
        <f t="shared" si="4"/>
        <v>4.1212392245834257</v>
      </c>
      <c r="X4" s="4">
        <f t="shared" si="5"/>
        <v>27.148305969623216</v>
      </c>
      <c r="Y4" s="22"/>
      <c r="Z4" s="23"/>
    </row>
    <row r="5" spans="1:26" x14ac:dyDescent="0.3">
      <c r="A5" s="21" t="s">
        <v>11</v>
      </c>
      <c r="B5" s="3" t="s">
        <v>8</v>
      </c>
      <c r="C5" s="12">
        <v>30.407975488239209</v>
      </c>
      <c r="D5" s="3">
        <v>120</v>
      </c>
      <c r="E5" s="16">
        <f t="shared" si="0"/>
        <v>3.9463330943032364</v>
      </c>
      <c r="F5" s="4">
        <f t="shared" si="1"/>
        <v>24.725307706124088</v>
      </c>
      <c r="G5" s="22">
        <f t="shared" ref="G5" si="6">AVERAGE(F5:F7)</f>
        <v>25.173914685595701</v>
      </c>
      <c r="H5" s="23" t="str">
        <f t="shared" ref="H5" si="7">IF(G5&gt;=25,"GOOD","POOR")</f>
        <v>GOOD</v>
      </c>
      <c r="J5" s="21" t="s">
        <v>19</v>
      </c>
      <c r="K5" s="3" t="s">
        <v>8</v>
      </c>
      <c r="L5" s="12">
        <v>30.376618981076231</v>
      </c>
      <c r="M5" s="3">
        <v>120</v>
      </c>
      <c r="N5" s="16">
        <f t="shared" si="2"/>
        <v>3.9504067281074495</v>
      </c>
      <c r="O5" s="4">
        <f t="shared" si="3"/>
        <v>24.779202187047844</v>
      </c>
      <c r="P5" s="22">
        <f t="shared" ref="P5" si="8">AVERAGE(O5:O7)</f>
        <v>25.835366893406871</v>
      </c>
      <c r="Q5" s="23" t="str">
        <f t="shared" ref="Q5" si="9">IF(P5&gt;=25,"GOOD","POOR")</f>
        <v>GOOD</v>
      </c>
      <c r="S5" s="21" t="s">
        <v>23</v>
      </c>
      <c r="T5" s="3" t="s">
        <v>8</v>
      </c>
      <c r="U5" s="12">
        <v>29.142983616562859</v>
      </c>
      <c r="V5" s="3">
        <v>120</v>
      </c>
      <c r="W5" s="16">
        <f t="shared" si="4"/>
        <v>4.1176291892021748</v>
      </c>
      <c r="X5" s="4">
        <f t="shared" si="5"/>
        <v>27.095972085196774</v>
      </c>
      <c r="Y5" s="22">
        <f t="shared" ref="Y5" si="10">AVERAGE(X5:X7)</f>
        <v>26.450357690839297</v>
      </c>
      <c r="Z5" s="23" t="str">
        <f t="shared" ref="Z5" si="11">IF(Y5&gt;=25,"GOOD","POOR")</f>
        <v>GOOD</v>
      </c>
    </row>
    <row r="6" spans="1:26" x14ac:dyDescent="0.3">
      <c r="A6" s="21"/>
      <c r="B6" s="3" t="s">
        <v>9</v>
      </c>
      <c r="C6" s="12">
        <v>30.1</v>
      </c>
      <c r="D6" s="3">
        <v>120</v>
      </c>
      <c r="E6" s="16">
        <f t="shared" si="0"/>
        <v>3.9867109634551494</v>
      </c>
      <c r="F6" s="4">
        <f t="shared" si="1"/>
        <v>25.264728526271583</v>
      </c>
      <c r="G6" s="22"/>
      <c r="H6" s="23"/>
      <c r="J6" s="21"/>
      <c r="K6" s="3" t="s">
        <v>9</v>
      </c>
      <c r="L6" s="12">
        <v>29.823290130309925</v>
      </c>
      <c r="M6" s="3">
        <v>120</v>
      </c>
      <c r="N6" s="16">
        <f t="shared" si="2"/>
        <v>4.0237009221877207</v>
      </c>
      <c r="O6" s="4">
        <f t="shared" si="3"/>
        <v>25.76921149935723</v>
      </c>
      <c r="P6" s="22"/>
      <c r="Q6" s="23"/>
      <c r="S6" s="21"/>
      <c r="T6" s="3" t="s">
        <v>9</v>
      </c>
      <c r="U6" s="12">
        <v>29.34108761382851</v>
      </c>
      <c r="V6" s="3">
        <v>120</v>
      </c>
      <c r="W6" s="16">
        <f t="shared" si="4"/>
        <v>4.0898279429643152</v>
      </c>
      <c r="X6" s="4">
        <f t="shared" si="5"/>
        <v>26.696309080952858</v>
      </c>
      <c r="Y6" s="22"/>
      <c r="Z6" s="23"/>
    </row>
    <row r="7" spans="1:26" x14ac:dyDescent="0.3">
      <c r="A7" s="21"/>
      <c r="B7" s="3" t="s">
        <v>10</v>
      </c>
      <c r="C7" s="12">
        <v>29.952243960749851</v>
      </c>
      <c r="D7" s="3">
        <v>120</v>
      </c>
      <c r="E7" s="16">
        <f t="shared" si="0"/>
        <v>4.0063776242357978</v>
      </c>
      <c r="F7" s="4">
        <f t="shared" si="1"/>
        <v>25.531707824391439</v>
      </c>
      <c r="G7" s="22"/>
      <c r="H7" s="23"/>
      <c r="J7" s="21"/>
      <c r="K7" s="3" t="s">
        <v>10</v>
      </c>
      <c r="L7" s="12">
        <v>29.21089320516133</v>
      </c>
      <c r="M7" s="3">
        <v>120</v>
      </c>
      <c r="N7" s="16">
        <f t="shared" si="2"/>
        <v>4.10805651019247</v>
      </c>
      <c r="O7" s="4">
        <f t="shared" si="3"/>
        <v>26.95768699381555</v>
      </c>
      <c r="P7" s="22"/>
      <c r="Q7" s="23"/>
      <c r="S7" s="21"/>
      <c r="T7" s="3" t="s">
        <v>10</v>
      </c>
      <c r="U7" s="12">
        <v>29.937421551268422</v>
      </c>
      <c r="V7" s="3">
        <v>120</v>
      </c>
      <c r="W7" s="16">
        <f t="shared" si="4"/>
        <v>4.0083612342665402</v>
      </c>
      <c r="X7" s="4">
        <f t="shared" si="5"/>
        <v>25.55879190636826</v>
      </c>
      <c r="Y7" s="22"/>
      <c r="Z7" s="23"/>
    </row>
    <row r="8" spans="1:26" x14ac:dyDescent="0.3">
      <c r="A8" s="5"/>
      <c r="B8" s="6"/>
      <c r="C8" s="18"/>
      <c r="D8" s="6"/>
      <c r="E8" s="8"/>
      <c r="F8" s="9"/>
      <c r="G8" s="10"/>
      <c r="H8" s="11"/>
      <c r="J8" s="21" t="s">
        <v>20</v>
      </c>
      <c r="K8" s="3" t="s">
        <v>8</v>
      </c>
      <c r="L8" s="12">
        <v>32.799999999999997</v>
      </c>
      <c r="M8" s="3">
        <v>120</v>
      </c>
      <c r="N8" s="16">
        <f t="shared" si="2"/>
        <v>3.6585365853658538</v>
      </c>
      <c r="O8" s="4">
        <f t="shared" si="3"/>
        <v>21.199976825611262</v>
      </c>
      <c r="P8" s="22">
        <f t="shared" ref="P8" si="12">AVERAGE(O8:O10)</f>
        <v>25.434562202213272</v>
      </c>
      <c r="Q8" s="23" t="str">
        <f t="shared" ref="Q8" si="13">IF(P8&gt;=25,"GOOD","POOR")</f>
        <v>GOOD</v>
      </c>
      <c r="S8" s="21" t="s">
        <v>24</v>
      </c>
      <c r="T8" s="3" t="s">
        <v>8</v>
      </c>
      <c r="U8" s="12">
        <v>29.313981740187401</v>
      </c>
      <c r="V8" s="3">
        <v>120</v>
      </c>
      <c r="W8" s="16">
        <f t="shared" si="4"/>
        <v>4.0936097000936744</v>
      </c>
      <c r="X8" s="4">
        <f t="shared" si="5"/>
        <v>26.750326218930056</v>
      </c>
      <c r="Y8" s="22">
        <f t="shared" ref="Y8" si="14">AVERAGE(X8:X10)</f>
        <v>25.306882890376169</v>
      </c>
      <c r="Z8" s="23" t="str">
        <f t="shared" ref="Z8" si="15">IF(Y8&gt;=25,"GOOD","POOR")</f>
        <v>GOOD</v>
      </c>
    </row>
    <row r="9" spans="1:26" x14ac:dyDescent="0.3">
      <c r="A9" s="5"/>
      <c r="B9" s="6"/>
      <c r="C9" s="18"/>
      <c r="D9" s="6"/>
      <c r="E9" s="8"/>
      <c r="F9" s="9"/>
      <c r="G9" s="10"/>
      <c r="H9" s="11"/>
      <c r="J9" s="21"/>
      <c r="K9" s="3" t="s">
        <v>9</v>
      </c>
      <c r="L9" s="12">
        <v>30.72073383633877</v>
      </c>
      <c r="M9" s="3">
        <v>120</v>
      </c>
      <c r="N9" s="16">
        <f t="shared" si="2"/>
        <v>3.9061566901131468</v>
      </c>
      <c r="O9" s="4">
        <f t="shared" si="3"/>
        <v>24.200009713170772</v>
      </c>
      <c r="P9" s="22"/>
      <c r="Q9" s="23"/>
      <c r="S9" s="21"/>
      <c r="T9" s="3" t="s">
        <v>9</v>
      </c>
      <c r="U9" s="12">
        <v>30.229635170799902</v>
      </c>
      <c r="V9" s="3">
        <v>120</v>
      </c>
      <c r="W9" s="16">
        <f t="shared" si="4"/>
        <v>3.9696145627292627</v>
      </c>
      <c r="X9" s="4">
        <f t="shared" si="5"/>
        <v>25.034910416535016</v>
      </c>
      <c r="Y9" s="22"/>
      <c r="Z9" s="23"/>
    </row>
    <row r="10" spans="1:26" x14ac:dyDescent="0.3">
      <c r="A10" s="5"/>
      <c r="B10" s="6"/>
      <c r="C10" s="18"/>
      <c r="D10" s="6"/>
      <c r="E10" s="8"/>
      <c r="F10" s="9"/>
      <c r="G10" s="10"/>
      <c r="H10" s="11"/>
      <c r="J10" s="21"/>
      <c r="K10" s="3" t="s">
        <v>10</v>
      </c>
      <c r="L10" s="12">
        <v>27.5</v>
      </c>
      <c r="M10" s="3">
        <v>120</v>
      </c>
      <c r="N10" s="16">
        <f t="shared" si="2"/>
        <v>4.3636363636363633</v>
      </c>
      <c r="O10" s="4">
        <f t="shared" si="3"/>
        <v>30.903700067857791</v>
      </c>
      <c r="P10" s="22"/>
      <c r="Q10" s="23"/>
      <c r="S10" s="21"/>
      <c r="T10" s="3" t="s">
        <v>10</v>
      </c>
      <c r="U10" s="12">
        <v>30.76011351879033</v>
      </c>
      <c r="V10" s="3">
        <v>120</v>
      </c>
      <c r="W10" s="16">
        <f t="shared" si="4"/>
        <v>3.9011559540147989</v>
      </c>
      <c r="X10" s="4">
        <f t="shared" si="5"/>
        <v>24.135412035663435</v>
      </c>
      <c r="Y10" s="22"/>
      <c r="Z10" s="23"/>
    </row>
    <row r="11" spans="1:26" x14ac:dyDescent="0.3">
      <c r="A11" s="5"/>
      <c r="B11" s="6"/>
      <c r="C11" s="18"/>
      <c r="D11" s="6"/>
      <c r="E11" s="8"/>
      <c r="F11" s="9"/>
      <c r="G11" s="10"/>
      <c r="H11" s="11"/>
      <c r="J11" s="21" t="s">
        <v>21</v>
      </c>
      <c r="K11" s="3" t="s">
        <v>8</v>
      </c>
      <c r="L11" s="12">
        <v>29.287704773558747</v>
      </c>
      <c r="M11" s="3">
        <v>120</v>
      </c>
      <c r="N11" s="16">
        <f t="shared" si="2"/>
        <v>4.0972824920147817</v>
      </c>
      <c r="O11" s="4">
        <f t="shared" si="3"/>
        <v>26.802891557940395</v>
      </c>
      <c r="P11" s="22">
        <f t="shared" ref="P11" si="16">AVERAGE(O11:O13)</f>
        <v>26.380290938618117</v>
      </c>
      <c r="Q11" s="23" t="str">
        <f t="shared" ref="Q11" si="17">IF(P11&gt;=25,"GOOD","POOR")</f>
        <v>GOOD</v>
      </c>
      <c r="S11" s="21" t="s">
        <v>25</v>
      </c>
      <c r="T11" s="3" t="s">
        <v>8</v>
      </c>
      <c r="U11" s="12">
        <v>29.169655142114173</v>
      </c>
      <c r="V11" s="3">
        <v>120</v>
      </c>
      <c r="W11" s="16">
        <f t="shared" si="4"/>
        <v>4.1138641994689893</v>
      </c>
      <c r="X11" s="4">
        <f t="shared" si="5"/>
        <v>27.041499331398839</v>
      </c>
      <c r="Y11" s="22">
        <f t="shared" ref="Y11" si="18">AVERAGE(X11:X13)</f>
        <v>25.580990041560653</v>
      </c>
      <c r="Z11" s="23" t="str">
        <f t="shared" ref="Z11" si="19">IF(Y11&gt;=25,"GOOD","POOR")</f>
        <v>GOOD</v>
      </c>
    </row>
    <row r="12" spans="1:26" x14ac:dyDescent="0.3">
      <c r="A12" s="5"/>
      <c r="B12" s="6"/>
      <c r="C12" s="18"/>
      <c r="D12" s="6"/>
      <c r="E12" s="8"/>
      <c r="F12" s="9"/>
      <c r="G12" s="10"/>
      <c r="H12" s="11"/>
      <c r="J12" s="21"/>
      <c r="K12" s="3" t="s">
        <v>9</v>
      </c>
      <c r="L12" s="12">
        <v>30.142247941115755</v>
      </c>
      <c r="M12" s="3">
        <v>120</v>
      </c>
      <c r="N12" s="16">
        <f t="shared" si="2"/>
        <v>3.9811231144546828</v>
      </c>
      <c r="O12" s="4">
        <f t="shared" si="3"/>
        <v>25.18938280165953</v>
      </c>
      <c r="P12" s="22"/>
      <c r="Q12" s="23"/>
      <c r="S12" s="21"/>
      <c r="T12" s="3" t="s">
        <v>9</v>
      </c>
      <c r="U12" s="12">
        <v>30.605846211604081</v>
      </c>
      <c r="V12" s="3">
        <v>120</v>
      </c>
      <c r="W12" s="16">
        <f t="shared" si="4"/>
        <v>3.920819544420977</v>
      </c>
      <c r="X12" s="4">
        <f t="shared" si="5"/>
        <v>24.390417509958322</v>
      </c>
      <c r="Y12" s="22"/>
      <c r="Z12" s="23"/>
    </row>
    <row r="13" spans="1:26" x14ac:dyDescent="0.3">
      <c r="A13" s="5"/>
      <c r="B13" s="6"/>
      <c r="C13" s="18"/>
      <c r="D13" s="6"/>
      <c r="E13" s="8"/>
      <c r="F13" s="9"/>
      <c r="G13" s="10"/>
      <c r="H13" s="11"/>
      <c r="J13" s="21"/>
      <c r="K13" s="3" t="s">
        <v>10</v>
      </c>
      <c r="L13" s="12">
        <v>29.117313157562812</v>
      </c>
      <c r="M13" s="3">
        <v>120</v>
      </c>
      <c r="N13" s="16">
        <f t="shared" si="2"/>
        <v>4.1212593809958626</v>
      </c>
      <c r="O13" s="4">
        <f t="shared" si="3"/>
        <v>27.148598456254419</v>
      </c>
      <c r="P13" s="22"/>
      <c r="Q13" s="23"/>
      <c r="S13" s="21"/>
      <c r="T13" s="3" t="s">
        <v>10</v>
      </c>
      <c r="U13" s="12">
        <v>30.074145776243384</v>
      </c>
      <c r="V13" s="3">
        <v>120</v>
      </c>
      <c r="W13" s="16">
        <f t="shared" si="4"/>
        <v>3.9901382700216934</v>
      </c>
      <c r="X13" s="4">
        <f t="shared" si="5"/>
        <v>25.311053283324789</v>
      </c>
      <c r="Y13" s="22"/>
      <c r="Z13" s="23"/>
    </row>
    <row r="14" spans="1:26" x14ac:dyDescent="0.3">
      <c r="A14" s="5"/>
      <c r="B14" s="6"/>
      <c r="C14" s="18"/>
      <c r="D14" s="6"/>
      <c r="E14" s="8"/>
      <c r="F14" s="9"/>
      <c r="G14" s="10"/>
      <c r="H14" s="11"/>
      <c r="J14" s="5"/>
      <c r="K14" s="6"/>
      <c r="L14" s="17"/>
      <c r="M14" s="6"/>
      <c r="N14" s="8"/>
      <c r="O14" s="9"/>
      <c r="P14" s="10"/>
      <c r="Q14" s="11"/>
      <c r="S14" s="21" t="s">
        <v>26</v>
      </c>
      <c r="T14" s="3" t="s">
        <v>8</v>
      </c>
      <c r="U14" s="12">
        <v>30.848706972992854</v>
      </c>
      <c r="V14" s="3">
        <v>120</v>
      </c>
      <c r="W14" s="16">
        <f t="shared" si="4"/>
        <v>3.8899523440336257</v>
      </c>
      <c r="X14" s="4">
        <f t="shared" si="5"/>
        <v>23.991313121440804</v>
      </c>
      <c r="Y14" s="22">
        <f t="shared" ref="Y14" si="20">AVERAGE(X14:X16)</f>
        <v>25.066524104591739</v>
      </c>
      <c r="Z14" s="23" t="str">
        <f t="shared" ref="Z14" si="21">IF(Y14&gt;=25,"GOOD","POOR")</f>
        <v>GOOD</v>
      </c>
    </row>
    <row r="15" spans="1:26" x14ac:dyDescent="0.3">
      <c r="A15" s="5"/>
      <c r="B15" s="6"/>
      <c r="C15" s="18"/>
      <c r="D15" s="6"/>
      <c r="E15" s="8"/>
      <c r="F15" s="9"/>
      <c r="G15" s="10"/>
      <c r="H15" s="11"/>
      <c r="J15" s="5"/>
      <c r="K15" s="6"/>
      <c r="L15" s="17"/>
      <c r="M15" s="6"/>
      <c r="N15" s="8"/>
      <c r="O15" s="9"/>
      <c r="P15" s="10"/>
      <c r="Q15" s="11"/>
      <c r="S15" s="21"/>
      <c r="T15" s="3" t="s">
        <v>9</v>
      </c>
      <c r="U15" s="12">
        <v>29.516216326427468</v>
      </c>
      <c r="V15" s="3">
        <v>120</v>
      </c>
      <c r="W15" s="16">
        <f t="shared" si="4"/>
        <v>4.0655617465629392</v>
      </c>
      <c r="X15" s="4">
        <f t="shared" si="5"/>
        <v>26.352286283632182</v>
      </c>
      <c r="Y15" s="22"/>
      <c r="Z15" s="23"/>
    </row>
    <row r="16" spans="1:26" x14ac:dyDescent="0.3">
      <c r="A16" s="5"/>
      <c r="B16" s="6"/>
      <c r="C16" s="18"/>
      <c r="D16" s="6"/>
      <c r="E16" s="8"/>
      <c r="F16" s="9"/>
      <c r="G16" s="10"/>
      <c r="H16" s="11"/>
      <c r="J16" s="5"/>
      <c r="K16" s="6"/>
      <c r="L16" s="17"/>
      <c r="M16" s="6"/>
      <c r="N16" s="8"/>
      <c r="O16" s="9"/>
      <c r="P16" s="10"/>
      <c r="Q16" s="11"/>
      <c r="S16" s="21"/>
      <c r="T16" s="3" t="s">
        <v>10</v>
      </c>
      <c r="U16" s="12">
        <v>30.332181387828623</v>
      </c>
      <c r="V16" s="3">
        <v>120</v>
      </c>
      <c r="W16" s="16">
        <f t="shared" si="4"/>
        <v>3.9561941973666404</v>
      </c>
      <c r="X16" s="4">
        <f t="shared" si="5"/>
        <v>24.855972908702231</v>
      </c>
      <c r="Y16" s="22"/>
      <c r="Z16" s="23"/>
    </row>
    <row r="17" spans="1:26" x14ac:dyDescent="0.3">
      <c r="A17" s="5"/>
      <c r="B17" s="6"/>
      <c r="C17" s="18"/>
      <c r="D17" s="6"/>
      <c r="E17" s="8"/>
      <c r="F17" s="9"/>
      <c r="G17" s="10"/>
      <c r="H17" s="11"/>
      <c r="J17" s="5"/>
      <c r="K17" s="6"/>
      <c r="L17" s="17"/>
      <c r="M17" s="6"/>
      <c r="N17" s="8"/>
      <c r="O17" s="9"/>
      <c r="P17" s="10"/>
      <c r="Q17" s="11"/>
      <c r="S17" s="21" t="s">
        <v>27</v>
      </c>
      <c r="T17" s="3" t="s">
        <v>8</v>
      </c>
      <c r="U17" s="12">
        <v>29.091359615088074</v>
      </c>
      <c r="V17" s="3">
        <v>120</v>
      </c>
      <c r="W17" s="16">
        <f t="shared" si="4"/>
        <v>4.124936118068633</v>
      </c>
      <c r="X17" s="4">
        <f t="shared" si="5"/>
        <v>27.202003774683039</v>
      </c>
      <c r="Y17" s="22">
        <f>AVERAGE(X17:X19)</f>
        <v>26.036583305331167</v>
      </c>
      <c r="Z17" s="23" t="str">
        <f>IF(Y17&gt;=25,"GOOD","POOR")</f>
        <v>GOOD</v>
      </c>
    </row>
    <row r="18" spans="1:26" x14ac:dyDescent="0.3">
      <c r="A18" s="5"/>
      <c r="B18" s="6"/>
      <c r="C18" s="18"/>
      <c r="D18" s="6"/>
      <c r="E18" s="8"/>
      <c r="F18" s="9"/>
      <c r="G18" s="10"/>
      <c r="H18" s="11"/>
      <c r="J18" s="5"/>
      <c r="K18" s="6"/>
      <c r="L18" s="17"/>
      <c r="M18" s="6"/>
      <c r="N18" s="8"/>
      <c r="O18" s="9"/>
      <c r="P18" s="10"/>
      <c r="Q18" s="11"/>
      <c r="S18" s="21"/>
      <c r="T18" s="3" t="s">
        <v>9</v>
      </c>
      <c r="U18" s="12">
        <v>29.95202660854369</v>
      </c>
      <c r="V18" s="3">
        <v>120</v>
      </c>
      <c r="W18" s="16">
        <f t="shared" si="4"/>
        <v>4.0064066972273089</v>
      </c>
      <c r="X18" s="4">
        <f t="shared" si="5"/>
        <v>25.53210457780434</v>
      </c>
      <c r="Y18" s="22"/>
      <c r="Z18" s="23"/>
    </row>
    <row r="19" spans="1:26" x14ac:dyDescent="0.3">
      <c r="A19" s="5"/>
      <c r="B19" s="6"/>
      <c r="C19" s="18"/>
      <c r="D19" s="6"/>
      <c r="E19" s="8"/>
      <c r="F19" s="9"/>
      <c r="G19" s="10"/>
      <c r="H19" s="11"/>
      <c r="J19" s="5"/>
      <c r="K19" s="6"/>
      <c r="L19" s="17"/>
      <c r="M19" s="6"/>
      <c r="N19" s="8"/>
      <c r="O19" s="9"/>
      <c r="P19" s="10"/>
      <c r="Q19" s="11"/>
      <c r="S19" s="21"/>
      <c r="T19" s="3" t="s">
        <v>10</v>
      </c>
      <c r="U19" s="12">
        <v>30.038251188643834</v>
      </c>
      <c r="V19" s="3">
        <v>120</v>
      </c>
      <c r="W19" s="16">
        <f t="shared" si="4"/>
        <v>3.9949063361373987</v>
      </c>
      <c r="X19" s="4">
        <f t="shared" si="5"/>
        <v>25.375641563506118</v>
      </c>
      <c r="Y19" s="22"/>
      <c r="Z19" s="23"/>
    </row>
    <row r="20" spans="1:26" x14ac:dyDescent="0.3">
      <c r="A20" s="5"/>
      <c r="B20" s="6"/>
      <c r="C20" s="18"/>
      <c r="D20" s="6"/>
      <c r="E20" s="8"/>
      <c r="F20" s="9"/>
      <c r="G20" s="10"/>
      <c r="H20" s="11"/>
      <c r="J20" s="5"/>
      <c r="K20" s="6"/>
      <c r="L20" s="17"/>
      <c r="M20" s="6"/>
      <c r="N20" s="8"/>
      <c r="O20" s="9"/>
      <c r="P20" s="10"/>
      <c r="Q20" s="11"/>
      <c r="S20" s="21" t="s">
        <v>36</v>
      </c>
      <c r="T20" s="3" t="s">
        <v>8</v>
      </c>
      <c r="U20" s="12">
        <v>29.350159898525508</v>
      </c>
      <c r="V20" s="3">
        <v>120</v>
      </c>
      <c r="W20" s="16">
        <f t="shared" si="4"/>
        <v>4.0885637562072894</v>
      </c>
      <c r="X20" s="4">
        <f t="shared" si="5"/>
        <v>26.678276269240278</v>
      </c>
      <c r="Y20" s="22">
        <f>AVERAGE(X20:X22)</f>
        <v>25.747702766876262</v>
      </c>
      <c r="Z20" s="23" t="str">
        <f>IF(Y20&gt;=25,"GOOD","POOR")</f>
        <v>GOOD</v>
      </c>
    </row>
    <row r="21" spans="1:26" x14ac:dyDescent="0.3">
      <c r="A21" s="5"/>
      <c r="B21" s="6"/>
      <c r="C21" s="18"/>
      <c r="D21" s="6"/>
      <c r="E21" s="8"/>
      <c r="F21" s="9"/>
      <c r="G21" s="10"/>
      <c r="H21" s="11"/>
      <c r="J21" s="5"/>
      <c r="K21" s="6"/>
      <c r="L21" s="17"/>
      <c r="M21" s="6"/>
      <c r="N21" s="8"/>
      <c r="O21" s="9"/>
      <c r="P21" s="10"/>
      <c r="Q21" s="11"/>
      <c r="S21" s="21"/>
      <c r="T21" s="3" t="s">
        <v>9</v>
      </c>
      <c r="U21" s="12">
        <v>30.879657760211472</v>
      </c>
      <c r="V21" s="3">
        <v>120</v>
      </c>
      <c r="W21" s="16">
        <f t="shared" si="4"/>
        <v>3.8860534314153035</v>
      </c>
      <c r="X21" s="4">
        <f t="shared" si="5"/>
        <v>23.941368033634674</v>
      </c>
      <c r="Y21" s="22"/>
      <c r="Z21" s="23"/>
    </row>
    <row r="22" spans="1:26" x14ac:dyDescent="0.3">
      <c r="A22" s="5"/>
      <c r="B22" s="6"/>
      <c r="C22" s="18"/>
      <c r="D22" s="6"/>
      <c r="E22" s="8"/>
      <c r="F22" s="9"/>
      <c r="G22" s="10"/>
      <c r="H22" s="11"/>
      <c r="J22" s="5"/>
      <c r="K22" s="6"/>
      <c r="L22" s="17"/>
      <c r="M22" s="6"/>
      <c r="N22" s="8"/>
      <c r="O22" s="9"/>
      <c r="P22" s="10"/>
      <c r="Q22" s="11"/>
      <c r="S22" s="21"/>
      <c r="T22" s="3" t="s">
        <v>10</v>
      </c>
      <c r="U22" s="12">
        <v>29.377808136977613</v>
      </c>
      <c r="V22" s="3">
        <v>120</v>
      </c>
      <c r="W22" s="16">
        <f t="shared" si="4"/>
        <v>4.0847158998549302</v>
      </c>
      <c r="X22" s="4">
        <f t="shared" si="5"/>
        <v>26.623463997753841</v>
      </c>
      <c r="Y22" s="22"/>
      <c r="Z22" s="23"/>
    </row>
    <row r="23" spans="1:26" x14ac:dyDescent="0.3">
      <c r="A23" s="5"/>
      <c r="B23" s="6"/>
      <c r="C23" s="17"/>
      <c r="D23" s="6"/>
      <c r="E23" s="8"/>
      <c r="F23" s="9"/>
      <c r="G23" s="10"/>
      <c r="H23" s="11"/>
    </row>
    <row r="24" spans="1:26" x14ac:dyDescent="0.3">
      <c r="A24" s="5"/>
      <c r="B24" s="6"/>
      <c r="C24" s="17"/>
      <c r="D24" s="6"/>
      <c r="E24" s="8"/>
      <c r="F24" s="9"/>
      <c r="G24" s="10"/>
      <c r="H24" s="11"/>
    </row>
    <row r="25" spans="1:26" x14ac:dyDescent="0.3">
      <c r="A25" s="5"/>
      <c r="B25" s="6"/>
      <c r="C25" s="17"/>
      <c r="D25" s="6"/>
      <c r="E25" s="8"/>
      <c r="F25" s="9"/>
      <c r="G25" s="10"/>
      <c r="H25" s="11"/>
    </row>
    <row r="26" spans="1:26" x14ac:dyDescent="0.3">
      <c r="A26" s="5"/>
      <c r="B26" s="6"/>
      <c r="C26" s="17"/>
      <c r="D26" s="6"/>
      <c r="E26" s="8"/>
      <c r="F26" s="9"/>
      <c r="G26" s="10"/>
      <c r="H26" s="11"/>
    </row>
    <row r="27" spans="1:26" x14ac:dyDescent="0.3">
      <c r="A27" s="5"/>
      <c r="B27" s="6"/>
      <c r="C27" s="17"/>
      <c r="D27" s="6"/>
      <c r="E27" s="8"/>
      <c r="F27" s="9"/>
      <c r="G27" s="10"/>
      <c r="H27" s="11"/>
    </row>
    <row r="28" spans="1:26" x14ac:dyDescent="0.3">
      <c r="A28" s="5"/>
      <c r="B28" s="6"/>
      <c r="C28" s="17"/>
      <c r="D28" s="6"/>
      <c r="E28" s="8"/>
      <c r="F28" s="9"/>
      <c r="G28" s="10"/>
      <c r="H28" s="11"/>
    </row>
    <row r="29" spans="1:26" x14ac:dyDescent="0.3">
      <c r="A29" s="5"/>
      <c r="B29" s="6"/>
      <c r="C29" s="7"/>
      <c r="D29" s="6"/>
      <c r="E29" s="8"/>
      <c r="F29" s="9"/>
      <c r="G29" s="10"/>
      <c r="H29" s="11"/>
    </row>
    <row r="30" spans="1:26" x14ac:dyDescent="0.3">
      <c r="A30" s="5"/>
      <c r="B30" s="6"/>
      <c r="C30" s="7"/>
      <c r="D30" s="6"/>
      <c r="E30" s="8"/>
      <c r="F30" s="9"/>
      <c r="G30" s="10"/>
      <c r="H30" s="11"/>
    </row>
    <row r="31" spans="1:26" x14ac:dyDescent="0.3">
      <c r="A31" s="5"/>
      <c r="B31" s="6"/>
      <c r="C31" s="7"/>
      <c r="D31" s="6"/>
      <c r="E31" s="8"/>
      <c r="F31" s="9"/>
      <c r="G31" s="10"/>
      <c r="H31" s="11"/>
    </row>
  </sheetData>
  <mergeCells count="39">
    <mergeCell ref="S20:S22"/>
    <mergeCell ref="Y20:Y22"/>
    <mergeCell ref="Z20:Z22"/>
    <mergeCell ref="S14:S16"/>
    <mergeCell ref="Y14:Y16"/>
    <mergeCell ref="Z14:Z16"/>
    <mergeCell ref="S17:S19"/>
    <mergeCell ref="Y17:Y19"/>
    <mergeCell ref="Z17:Z19"/>
    <mergeCell ref="J11:J13"/>
    <mergeCell ref="P11:P13"/>
    <mergeCell ref="Q11:Q13"/>
    <mergeCell ref="S11:S13"/>
    <mergeCell ref="Y11:Y13"/>
    <mergeCell ref="Z11:Z13"/>
    <mergeCell ref="Y5:Y7"/>
    <mergeCell ref="Z5:Z7"/>
    <mergeCell ref="J8:J10"/>
    <mergeCell ref="P8:P10"/>
    <mergeCell ref="Q8:Q10"/>
    <mergeCell ref="S8:S10"/>
    <mergeCell ref="Y8:Y10"/>
    <mergeCell ref="Z8:Z10"/>
    <mergeCell ref="S2:S4"/>
    <mergeCell ref="Y2:Y4"/>
    <mergeCell ref="Z2:Z4"/>
    <mergeCell ref="A5:A7"/>
    <mergeCell ref="G5:G7"/>
    <mergeCell ref="H5:H7"/>
    <mergeCell ref="J5:J7"/>
    <mergeCell ref="P5:P7"/>
    <mergeCell ref="Q5:Q7"/>
    <mergeCell ref="S5:S7"/>
    <mergeCell ref="A2:A4"/>
    <mergeCell ref="G2:G4"/>
    <mergeCell ref="H2:H4"/>
    <mergeCell ref="J2:J4"/>
    <mergeCell ref="P2:P4"/>
    <mergeCell ref="Q2:Q4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8C33-1804-4B0B-8BF8-B28CD70F77C5}">
  <dimension ref="A1:Z31"/>
  <sheetViews>
    <sheetView topLeftCell="H1" workbookViewId="0">
      <selection activeCell="Y1" sqref="Y1"/>
    </sheetView>
  </sheetViews>
  <sheetFormatPr defaultRowHeight="14.4" x14ac:dyDescent="0.3"/>
  <sheetData>
    <row r="1" spans="1:26" ht="86.4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6</v>
      </c>
      <c r="J1" s="1" t="s">
        <v>0</v>
      </c>
      <c r="K1" s="1" t="s">
        <v>1</v>
      </c>
      <c r="L1" s="2" t="s">
        <v>2</v>
      </c>
      <c r="M1" s="1" t="s">
        <v>3</v>
      </c>
      <c r="N1" s="1" t="s">
        <v>4</v>
      </c>
      <c r="O1" s="1" t="s">
        <v>5</v>
      </c>
      <c r="P1" s="1" t="s">
        <v>40</v>
      </c>
      <c r="Q1" s="1" t="s">
        <v>6</v>
      </c>
      <c r="S1" s="1" t="s">
        <v>0</v>
      </c>
      <c r="T1" s="1" t="s">
        <v>1</v>
      </c>
      <c r="U1" s="2" t="s">
        <v>2</v>
      </c>
      <c r="V1" s="1" t="s">
        <v>3</v>
      </c>
      <c r="W1" s="1" t="s">
        <v>4</v>
      </c>
      <c r="X1" s="1" t="s">
        <v>5</v>
      </c>
      <c r="Y1" s="1" t="s">
        <v>40</v>
      </c>
      <c r="Z1" s="1" t="s">
        <v>6</v>
      </c>
    </row>
    <row r="2" spans="1:26" x14ac:dyDescent="0.3">
      <c r="A2" s="21" t="s">
        <v>7</v>
      </c>
      <c r="B2" s="3" t="s">
        <v>8</v>
      </c>
      <c r="C2" s="12">
        <v>25.9</v>
      </c>
      <c r="D2" s="3">
        <v>120</v>
      </c>
      <c r="E2" s="16">
        <f t="shared" ref="E2:E7" si="0">D2/C2</f>
        <v>4.6332046332046337</v>
      </c>
      <c r="F2" s="4">
        <f t="shared" ref="F2:F7" si="1">2.9997*EXP(0.5345*E2)</f>
        <v>35.693198774417937</v>
      </c>
      <c r="G2" s="22">
        <f>AVERAGE(F2:F4)</f>
        <v>25.95179389508553</v>
      </c>
      <c r="H2" s="23" t="str">
        <f>IF(G2&gt;=25,"GOOD","POOR")</f>
        <v>GOOD</v>
      </c>
      <c r="J2" s="21" t="s">
        <v>18</v>
      </c>
      <c r="K2" s="3" t="s">
        <v>8</v>
      </c>
      <c r="L2" s="12">
        <v>32.700000000000003</v>
      </c>
      <c r="M2" s="3">
        <v>120</v>
      </c>
      <c r="N2" s="16">
        <f t="shared" ref="N2:N13" si="2">M2/L2</f>
        <v>3.6697247706422016</v>
      </c>
      <c r="O2" s="4">
        <f t="shared" ref="O2:O13" si="3">2.9997*EXP(0.5345*N2)</f>
        <v>21.327134317028193</v>
      </c>
      <c r="P2" s="22">
        <f>AVERAGE(O2:O4)</f>
        <v>25.704422298607653</v>
      </c>
      <c r="Q2" s="23" t="str">
        <f>IF(P2&gt;=25,"GOOD","POOR")</f>
        <v>GOOD</v>
      </c>
      <c r="S2" s="21" t="s">
        <v>22</v>
      </c>
      <c r="T2" s="3" t="s">
        <v>8</v>
      </c>
      <c r="U2" s="12">
        <v>29.451871399824281</v>
      </c>
      <c r="V2" s="3">
        <v>120</v>
      </c>
      <c r="W2" s="16">
        <f t="shared" ref="W2:W22" si="4">V2/U2</f>
        <v>4.0744439757643365</v>
      </c>
      <c r="X2" s="4">
        <f t="shared" ref="X2:X22" si="5">2.9997*EXP(0.5345*W2)</f>
        <v>26.477692570978633</v>
      </c>
      <c r="Y2" s="22">
        <f>AVERAGE(X2:X4)</f>
        <v>26.0933733459172</v>
      </c>
      <c r="Z2" s="23" t="str">
        <f>IF(Y2&gt;=25,"GOOD","POOR")</f>
        <v>GOOD</v>
      </c>
    </row>
    <row r="3" spans="1:26" x14ac:dyDescent="0.3">
      <c r="A3" s="21"/>
      <c r="B3" s="3" t="s">
        <v>9</v>
      </c>
      <c r="C3" s="12">
        <v>32.6</v>
      </c>
      <c r="D3" s="3">
        <v>120</v>
      </c>
      <c r="E3" s="16">
        <f t="shared" si="0"/>
        <v>3.6809815950920242</v>
      </c>
      <c r="F3" s="4">
        <f t="shared" si="1"/>
        <v>21.455841648977835</v>
      </c>
      <c r="G3" s="22"/>
      <c r="H3" s="23"/>
      <c r="J3" s="21"/>
      <c r="K3" s="3" t="s">
        <v>9</v>
      </c>
      <c r="L3" s="12">
        <v>29.5</v>
      </c>
      <c r="M3" s="3">
        <v>120</v>
      </c>
      <c r="N3" s="16">
        <f t="shared" si="2"/>
        <v>4.0677966101694913</v>
      </c>
      <c r="O3" s="4">
        <f t="shared" si="3"/>
        <v>26.383783810023683</v>
      </c>
      <c r="P3" s="22"/>
      <c r="Q3" s="23"/>
      <c r="S3" s="21"/>
      <c r="T3" s="3" t="s">
        <v>9</v>
      </c>
      <c r="U3" s="12">
        <v>30.449597225128812</v>
      </c>
      <c r="V3" s="3">
        <v>120</v>
      </c>
      <c r="W3" s="16">
        <f t="shared" si="4"/>
        <v>3.9409388279516842</v>
      </c>
      <c r="X3" s="4">
        <f t="shared" si="5"/>
        <v>24.65412149714976</v>
      </c>
      <c r="Y3" s="22"/>
      <c r="Z3" s="23"/>
    </row>
    <row r="4" spans="1:26" x14ac:dyDescent="0.3">
      <c r="A4" s="21"/>
      <c r="B4" s="3" t="s">
        <v>10</v>
      </c>
      <c r="C4" s="12">
        <v>33.200000000000003</v>
      </c>
      <c r="D4" s="3">
        <v>120</v>
      </c>
      <c r="E4" s="16">
        <f t="shared" si="0"/>
        <v>3.6144578313253009</v>
      </c>
      <c r="F4" s="4">
        <f t="shared" si="1"/>
        <v>20.706341261860814</v>
      </c>
      <c r="G4" s="22"/>
      <c r="H4" s="23"/>
      <c r="J4" s="21"/>
      <c r="K4" s="3" t="s">
        <v>10</v>
      </c>
      <c r="L4" s="12">
        <v>28.1</v>
      </c>
      <c r="M4" s="3">
        <v>120</v>
      </c>
      <c r="N4" s="16">
        <f t="shared" si="2"/>
        <v>4.2704626334519569</v>
      </c>
      <c r="O4" s="4">
        <f t="shared" si="3"/>
        <v>29.402348768771091</v>
      </c>
      <c r="P4" s="22"/>
      <c r="Q4" s="23"/>
      <c r="S4" s="21"/>
      <c r="T4" s="3" t="s">
        <v>10</v>
      </c>
      <c r="U4" s="12">
        <v>29.117455566324125</v>
      </c>
      <c r="V4" s="3">
        <v>120</v>
      </c>
      <c r="W4" s="16">
        <f t="shared" si="4"/>
        <v>4.1212392245834257</v>
      </c>
      <c r="X4" s="4">
        <f t="shared" si="5"/>
        <v>27.148305969623216</v>
      </c>
      <c r="Y4" s="22"/>
      <c r="Z4" s="23"/>
    </row>
    <row r="5" spans="1:26" x14ac:dyDescent="0.3">
      <c r="A5" s="21" t="s">
        <v>11</v>
      </c>
      <c r="B5" s="3" t="s">
        <v>8</v>
      </c>
      <c r="C5" s="12">
        <v>30.407975488239209</v>
      </c>
      <c r="D5" s="3">
        <v>120</v>
      </c>
      <c r="E5" s="16">
        <f t="shared" si="0"/>
        <v>3.9463330943032364</v>
      </c>
      <c r="F5" s="4">
        <f t="shared" si="1"/>
        <v>24.725307706124088</v>
      </c>
      <c r="G5" s="22">
        <f t="shared" ref="G5" si="6">AVERAGE(F5:F7)</f>
        <v>25.173914685595701</v>
      </c>
      <c r="H5" s="23" t="str">
        <f t="shared" ref="H5" si="7">IF(G5&gt;=25,"GOOD","POOR")</f>
        <v>GOOD</v>
      </c>
      <c r="J5" s="21" t="s">
        <v>19</v>
      </c>
      <c r="K5" s="3" t="s">
        <v>8</v>
      </c>
      <c r="L5" s="12">
        <v>30.376618981076231</v>
      </c>
      <c r="M5" s="3">
        <v>120</v>
      </c>
      <c r="N5" s="16">
        <f t="shared" si="2"/>
        <v>3.9504067281074495</v>
      </c>
      <c r="O5" s="4">
        <f t="shared" si="3"/>
        <v>24.779202187047844</v>
      </c>
      <c r="P5" s="22">
        <f t="shared" ref="P5" si="8">AVERAGE(O5:O7)</f>
        <v>25.835366893406871</v>
      </c>
      <c r="Q5" s="23" t="str">
        <f t="shared" ref="Q5" si="9">IF(P5&gt;=25,"GOOD","POOR")</f>
        <v>GOOD</v>
      </c>
      <c r="S5" s="21" t="s">
        <v>23</v>
      </c>
      <c r="T5" s="3" t="s">
        <v>8</v>
      </c>
      <c r="U5" s="12">
        <v>29.142983616562859</v>
      </c>
      <c r="V5" s="3">
        <v>120</v>
      </c>
      <c r="W5" s="16">
        <f t="shared" si="4"/>
        <v>4.1176291892021748</v>
      </c>
      <c r="X5" s="4">
        <f t="shared" si="5"/>
        <v>27.095972085196774</v>
      </c>
      <c r="Y5" s="22">
        <f t="shared" ref="Y5" si="10">AVERAGE(X5:X7)</f>
        <v>26.450357690839297</v>
      </c>
      <c r="Z5" s="23" t="str">
        <f t="shared" ref="Z5" si="11">IF(Y5&gt;=25,"GOOD","POOR")</f>
        <v>GOOD</v>
      </c>
    </row>
    <row r="6" spans="1:26" x14ac:dyDescent="0.3">
      <c r="A6" s="21"/>
      <c r="B6" s="3" t="s">
        <v>9</v>
      </c>
      <c r="C6" s="12">
        <v>30.1</v>
      </c>
      <c r="D6" s="3">
        <v>120</v>
      </c>
      <c r="E6" s="16">
        <f t="shared" si="0"/>
        <v>3.9867109634551494</v>
      </c>
      <c r="F6" s="4">
        <f t="shared" si="1"/>
        <v>25.264728526271583</v>
      </c>
      <c r="G6" s="22"/>
      <c r="H6" s="23"/>
      <c r="J6" s="21"/>
      <c r="K6" s="3" t="s">
        <v>9</v>
      </c>
      <c r="L6" s="12">
        <v>29.823290130309925</v>
      </c>
      <c r="M6" s="3">
        <v>120</v>
      </c>
      <c r="N6" s="16">
        <f t="shared" si="2"/>
        <v>4.0237009221877207</v>
      </c>
      <c r="O6" s="4">
        <f t="shared" si="3"/>
        <v>25.76921149935723</v>
      </c>
      <c r="P6" s="22"/>
      <c r="Q6" s="23"/>
      <c r="S6" s="21"/>
      <c r="T6" s="3" t="s">
        <v>9</v>
      </c>
      <c r="U6" s="12">
        <v>29.34108761382851</v>
      </c>
      <c r="V6" s="3">
        <v>120</v>
      </c>
      <c r="W6" s="16">
        <f t="shared" si="4"/>
        <v>4.0898279429643152</v>
      </c>
      <c r="X6" s="4">
        <f t="shared" si="5"/>
        <v>26.696309080952858</v>
      </c>
      <c r="Y6" s="22"/>
      <c r="Z6" s="23"/>
    </row>
    <row r="7" spans="1:26" x14ac:dyDescent="0.3">
      <c r="A7" s="21"/>
      <c r="B7" s="3" t="s">
        <v>10</v>
      </c>
      <c r="C7" s="12">
        <v>29.952243960749851</v>
      </c>
      <c r="D7" s="3">
        <v>120</v>
      </c>
      <c r="E7" s="16">
        <f t="shared" si="0"/>
        <v>4.0063776242357978</v>
      </c>
      <c r="F7" s="4">
        <f t="shared" si="1"/>
        <v>25.531707824391439</v>
      </c>
      <c r="G7" s="22"/>
      <c r="H7" s="23"/>
      <c r="J7" s="21"/>
      <c r="K7" s="3" t="s">
        <v>10</v>
      </c>
      <c r="L7" s="12">
        <v>29.21089320516133</v>
      </c>
      <c r="M7" s="3">
        <v>120</v>
      </c>
      <c r="N7" s="16">
        <f t="shared" si="2"/>
        <v>4.10805651019247</v>
      </c>
      <c r="O7" s="4">
        <f t="shared" si="3"/>
        <v>26.95768699381555</v>
      </c>
      <c r="P7" s="22"/>
      <c r="Q7" s="23"/>
      <c r="S7" s="21"/>
      <c r="T7" s="3" t="s">
        <v>10</v>
      </c>
      <c r="U7" s="12">
        <v>29.937421551268422</v>
      </c>
      <c r="V7" s="3">
        <v>120</v>
      </c>
      <c r="W7" s="16">
        <f t="shared" si="4"/>
        <v>4.0083612342665402</v>
      </c>
      <c r="X7" s="4">
        <f t="shared" si="5"/>
        <v>25.55879190636826</v>
      </c>
      <c r="Y7" s="22"/>
      <c r="Z7" s="23"/>
    </row>
    <row r="8" spans="1:26" x14ac:dyDescent="0.3">
      <c r="A8" s="5"/>
      <c r="B8" s="6"/>
      <c r="C8" s="18"/>
      <c r="D8" s="6"/>
      <c r="E8" s="8"/>
      <c r="F8" s="9"/>
      <c r="G8" s="10"/>
      <c r="H8" s="11"/>
      <c r="J8" s="21" t="s">
        <v>20</v>
      </c>
      <c r="K8" s="3" t="s">
        <v>8</v>
      </c>
      <c r="L8" s="12">
        <v>32.799999999999997</v>
      </c>
      <c r="M8" s="3">
        <v>120</v>
      </c>
      <c r="N8" s="16">
        <f t="shared" si="2"/>
        <v>3.6585365853658538</v>
      </c>
      <c r="O8" s="4">
        <f t="shared" si="3"/>
        <v>21.199976825611262</v>
      </c>
      <c r="P8" s="22">
        <f t="shared" ref="P8" si="12">AVERAGE(O8:O10)</f>
        <v>25.434562202213272</v>
      </c>
      <c r="Q8" s="23" t="str">
        <f t="shared" ref="Q8" si="13">IF(P8&gt;=25,"GOOD","POOR")</f>
        <v>GOOD</v>
      </c>
      <c r="S8" s="21" t="s">
        <v>24</v>
      </c>
      <c r="T8" s="3" t="s">
        <v>8</v>
      </c>
      <c r="U8" s="12">
        <v>29.313981740187401</v>
      </c>
      <c r="V8" s="3">
        <v>120</v>
      </c>
      <c r="W8" s="16">
        <f t="shared" si="4"/>
        <v>4.0936097000936744</v>
      </c>
      <c r="X8" s="4">
        <f t="shared" si="5"/>
        <v>26.750326218930056</v>
      </c>
      <c r="Y8" s="22">
        <f t="shared" ref="Y8" si="14">AVERAGE(X8:X10)</f>
        <v>25.306882890376169</v>
      </c>
      <c r="Z8" s="23" t="str">
        <f t="shared" ref="Z8" si="15">IF(Y8&gt;=25,"GOOD","POOR")</f>
        <v>GOOD</v>
      </c>
    </row>
    <row r="9" spans="1:26" x14ac:dyDescent="0.3">
      <c r="A9" s="5"/>
      <c r="B9" s="6"/>
      <c r="C9" s="18"/>
      <c r="D9" s="6"/>
      <c r="E9" s="8"/>
      <c r="F9" s="9"/>
      <c r="G9" s="10"/>
      <c r="H9" s="11"/>
      <c r="J9" s="21"/>
      <c r="K9" s="3" t="s">
        <v>9</v>
      </c>
      <c r="L9" s="12">
        <v>30.72073383633877</v>
      </c>
      <c r="M9" s="3">
        <v>120</v>
      </c>
      <c r="N9" s="16">
        <f t="shared" si="2"/>
        <v>3.9061566901131468</v>
      </c>
      <c r="O9" s="4">
        <f t="shared" si="3"/>
        <v>24.200009713170772</v>
      </c>
      <c r="P9" s="22"/>
      <c r="Q9" s="23"/>
      <c r="S9" s="21"/>
      <c r="T9" s="3" t="s">
        <v>9</v>
      </c>
      <c r="U9" s="12">
        <v>30.229635170799902</v>
      </c>
      <c r="V9" s="3">
        <v>120</v>
      </c>
      <c r="W9" s="16">
        <f t="shared" si="4"/>
        <v>3.9696145627292627</v>
      </c>
      <c r="X9" s="4">
        <f t="shared" si="5"/>
        <v>25.034910416535016</v>
      </c>
      <c r="Y9" s="22"/>
      <c r="Z9" s="23"/>
    </row>
    <row r="10" spans="1:26" x14ac:dyDescent="0.3">
      <c r="A10" s="5"/>
      <c r="B10" s="6"/>
      <c r="C10" s="18"/>
      <c r="D10" s="6"/>
      <c r="E10" s="8"/>
      <c r="F10" s="9"/>
      <c r="G10" s="10"/>
      <c r="H10" s="11"/>
      <c r="J10" s="21"/>
      <c r="K10" s="3" t="s">
        <v>10</v>
      </c>
      <c r="L10" s="12">
        <v>27.5</v>
      </c>
      <c r="M10" s="3">
        <v>120</v>
      </c>
      <c r="N10" s="16">
        <f t="shared" si="2"/>
        <v>4.3636363636363633</v>
      </c>
      <c r="O10" s="4">
        <f t="shared" si="3"/>
        <v>30.903700067857791</v>
      </c>
      <c r="P10" s="22"/>
      <c r="Q10" s="23"/>
      <c r="S10" s="21"/>
      <c r="T10" s="3" t="s">
        <v>10</v>
      </c>
      <c r="U10" s="12">
        <v>30.76011351879033</v>
      </c>
      <c r="V10" s="3">
        <v>120</v>
      </c>
      <c r="W10" s="16">
        <f t="shared" si="4"/>
        <v>3.9011559540147989</v>
      </c>
      <c r="X10" s="4">
        <f t="shared" si="5"/>
        <v>24.135412035663435</v>
      </c>
      <c r="Y10" s="22"/>
      <c r="Z10" s="23"/>
    </row>
    <row r="11" spans="1:26" x14ac:dyDescent="0.3">
      <c r="A11" s="5"/>
      <c r="B11" s="6"/>
      <c r="C11" s="18"/>
      <c r="D11" s="6"/>
      <c r="E11" s="8"/>
      <c r="F11" s="9"/>
      <c r="G11" s="10"/>
      <c r="H11" s="11"/>
      <c r="J11" s="21" t="s">
        <v>21</v>
      </c>
      <c r="K11" s="3" t="s">
        <v>8</v>
      </c>
      <c r="L11" s="12">
        <v>29.287704773558747</v>
      </c>
      <c r="M11" s="3">
        <v>120</v>
      </c>
      <c r="N11" s="16">
        <f t="shared" si="2"/>
        <v>4.0972824920147817</v>
      </c>
      <c r="O11" s="4">
        <f t="shared" si="3"/>
        <v>26.802891557940395</v>
      </c>
      <c r="P11" s="22">
        <f t="shared" ref="P11" si="16">AVERAGE(O11:O13)</f>
        <v>26.380290938618117</v>
      </c>
      <c r="Q11" s="23" t="str">
        <f t="shared" ref="Q11" si="17">IF(P11&gt;=25,"GOOD","POOR")</f>
        <v>GOOD</v>
      </c>
      <c r="S11" s="21" t="s">
        <v>25</v>
      </c>
      <c r="T11" s="3" t="s">
        <v>8</v>
      </c>
      <c r="U11" s="12">
        <v>29.169655142114173</v>
      </c>
      <c r="V11" s="3">
        <v>120</v>
      </c>
      <c r="W11" s="16">
        <f t="shared" si="4"/>
        <v>4.1138641994689893</v>
      </c>
      <c r="X11" s="4">
        <f t="shared" si="5"/>
        <v>27.041499331398839</v>
      </c>
      <c r="Y11" s="22">
        <f t="shared" ref="Y11" si="18">AVERAGE(X11:X13)</f>
        <v>25.580990041560653</v>
      </c>
      <c r="Z11" s="23" t="str">
        <f t="shared" ref="Z11" si="19">IF(Y11&gt;=25,"GOOD","POOR")</f>
        <v>GOOD</v>
      </c>
    </row>
    <row r="12" spans="1:26" x14ac:dyDescent="0.3">
      <c r="A12" s="5"/>
      <c r="B12" s="6"/>
      <c r="C12" s="18"/>
      <c r="D12" s="6"/>
      <c r="E12" s="8"/>
      <c r="F12" s="9"/>
      <c r="G12" s="10"/>
      <c r="H12" s="11"/>
      <c r="J12" s="21"/>
      <c r="K12" s="3" t="s">
        <v>9</v>
      </c>
      <c r="L12" s="12">
        <v>30.142247941115755</v>
      </c>
      <c r="M12" s="3">
        <v>120</v>
      </c>
      <c r="N12" s="16">
        <f t="shared" si="2"/>
        <v>3.9811231144546828</v>
      </c>
      <c r="O12" s="4">
        <f t="shared" si="3"/>
        <v>25.18938280165953</v>
      </c>
      <c r="P12" s="22"/>
      <c r="Q12" s="23"/>
      <c r="S12" s="21"/>
      <c r="T12" s="3" t="s">
        <v>9</v>
      </c>
      <c r="U12" s="12">
        <v>30.605846211604081</v>
      </c>
      <c r="V12" s="3">
        <v>120</v>
      </c>
      <c r="W12" s="16">
        <f t="shared" si="4"/>
        <v>3.920819544420977</v>
      </c>
      <c r="X12" s="4">
        <f t="shared" si="5"/>
        <v>24.390417509958322</v>
      </c>
      <c r="Y12" s="22"/>
      <c r="Z12" s="23"/>
    </row>
    <row r="13" spans="1:26" x14ac:dyDescent="0.3">
      <c r="A13" s="5"/>
      <c r="B13" s="6"/>
      <c r="C13" s="18"/>
      <c r="D13" s="6"/>
      <c r="E13" s="8"/>
      <c r="F13" s="9"/>
      <c r="G13" s="10"/>
      <c r="H13" s="11"/>
      <c r="J13" s="21"/>
      <c r="K13" s="3" t="s">
        <v>10</v>
      </c>
      <c r="L13" s="12">
        <v>29.117313157562812</v>
      </c>
      <c r="M13" s="3">
        <v>120</v>
      </c>
      <c r="N13" s="16">
        <f t="shared" si="2"/>
        <v>4.1212593809958626</v>
      </c>
      <c r="O13" s="4">
        <f t="shared" si="3"/>
        <v>27.148598456254419</v>
      </c>
      <c r="P13" s="22"/>
      <c r="Q13" s="23"/>
      <c r="S13" s="21"/>
      <c r="T13" s="3" t="s">
        <v>10</v>
      </c>
      <c r="U13" s="12">
        <v>30.074145776243384</v>
      </c>
      <c r="V13" s="3">
        <v>120</v>
      </c>
      <c r="W13" s="16">
        <f t="shared" si="4"/>
        <v>3.9901382700216934</v>
      </c>
      <c r="X13" s="4">
        <f t="shared" si="5"/>
        <v>25.311053283324789</v>
      </c>
      <c r="Y13" s="22"/>
      <c r="Z13" s="23"/>
    </row>
    <row r="14" spans="1:26" x14ac:dyDescent="0.3">
      <c r="A14" s="5"/>
      <c r="B14" s="6"/>
      <c r="C14" s="18"/>
      <c r="D14" s="6"/>
      <c r="E14" s="8"/>
      <c r="F14" s="9"/>
      <c r="G14" s="10"/>
      <c r="H14" s="11"/>
      <c r="J14" s="5"/>
      <c r="K14" s="6"/>
      <c r="L14" s="17"/>
      <c r="M14" s="6"/>
      <c r="N14" s="8"/>
      <c r="O14" s="9"/>
      <c r="P14" s="10"/>
      <c r="Q14" s="11"/>
      <c r="S14" s="21" t="s">
        <v>26</v>
      </c>
      <c r="T14" s="3" t="s">
        <v>8</v>
      </c>
      <c r="U14" s="12">
        <v>30.848706972992854</v>
      </c>
      <c r="V14" s="3">
        <v>120</v>
      </c>
      <c r="W14" s="16">
        <f t="shared" si="4"/>
        <v>3.8899523440336257</v>
      </c>
      <c r="X14" s="4">
        <f t="shared" si="5"/>
        <v>23.991313121440804</v>
      </c>
      <c r="Y14" s="22">
        <f t="shared" ref="Y14" si="20">AVERAGE(X14:X16)</f>
        <v>25.066524104591739</v>
      </c>
      <c r="Z14" s="23" t="str">
        <f t="shared" ref="Z14" si="21">IF(Y14&gt;=25,"GOOD","POOR")</f>
        <v>GOOD</v>
      </c>
    </row>
    <row r="15" spans="1:26" x14ac:dyDescent="0.3">
      <c r="A15" s="5"/>
      <c r="B15" s="6"/>
      <c r="C15" s="18"/>
      <c r="D15" s="6"/>
      <c r="E15" s="8"/>
      <c r="F15" s="9"/>
      <c r="G15" s="10"/>
      <c r="H15" s="11"/>
      <c r="J15" s="5"/>
      <c r="K15" s="6"/>
      <c r="L15" s="17"/>
      <c r="M15" s="6"/>
      <c r="N15" s="8"/>
      <c r="O15" s="9"/>
      <c r="P15" s="10"/>
      <c r="Q15" s="11"/>
      <c r="S15" s="21"/>
      <c r="T15" s="3" t="s">
        <v>9</v>
      </c>
      <c r="U15" s="12">
        <v>29.516216326427468</v>
      </c>
      <c r="V15" s="3">
        <v>120</v>
      </c>
      <c r="W15" s="16">
        <f t="shared" si="4"/>
        <v>4.0655617465629392</v>
      </c>
      <c r="X15" s="4">
        <f t="shared" si="5"/>
        <v>26.352286283632182</v>
      </c>
      <c r="Y15" s="22"/>
      <c r="Z15" s="23"/>
    </row>
    <row r="16" spans="1:26" x14ac:dyDescent="0.3">
      <c r="A16" s="5"/>
      <c r="B16" s="6"/>
      <c r="C16" s="18"/>
      <c r="D16" s="6"/>
      <c r="E16" s="8"/>
      <c r="F16" s="9"/>
      <c r="G16" s="10"/>
      <c r="H16" s="11"/>
      <c r="J16" s="5"/>
      <c r="K16" s="6"/>
      <c r="L16" s="17"/>
      <c r="M16" s="6"/>
      <c r="N16" s="8"/>
      <c r="O16" s="9"/>
      <c r="P16" s="10"/>
      <c r="Q16" s="11"/>
      <c r="S16" s="21"/>
      <c r="T16" s="3" t="s">
        <v>10</v>
      </c>
      <c r="U16" s="12">
        <v>30.332181387828623</v>
      </c>
      <c r="V16" s="3">
        <v>120</v>
      </c>
      <c r="W16" s="16">
        <f t="shared" si="4"/>
        <v>3.9561941973666404</v>
      </c>
      <c r="X16" s="4">
        <f t="shared" si="5"/>
        <v>24.855972908702231</v>
      </c>
      <c r="Y16" s="22"/>
      <c r="Z16" s="23"/>
    </row>
    <row r="17" spans="1:26" x14ac:dyDescent="0.3">
      <c r="A17" s="5"/>
      <c r="B17" s="6"/>
      <c r="C17" s="18"/>
      <c r="D17" s="6"/>
      <c r="E17" s="8"/>
      <c r="F17" s="9"/>
      <c r="G17" s="10"/>
      <c r="H17" s="11"/>
      <c r="J17" s="5"/>
      <c r="K17" s="6"/>
      <c r="L17" s="17"/>
      <c r="M17" s="6"/>
      <c r="N17" s="8"/>
      <c r="O17" s="9"/>
      <c r="P17" s="10"/>
      <c r="Q17" s="11"/>
      <c r="S17" s="21" t="s">
        <v>27</v>
      </c>
      <c r="T17" s="3" t="s">
        <v>8</v>
      </c>
      <c r="U17" s="12">
        <v>29.091359615088074</v>
      </c>
      <c r="V17" s="3">
        <v>120</v>
      </c>
      <c r="W17" s="16">
        <f t="shared" si="4"/>
        <v>4.124936118068633</v>
      </c>
      <c r="X17" s="4">
        <f t="shared" si="5"/>
        <v>27.202003774683039</v>
      </c>
      <c r="Y17" s="22">
        <f>AVERAGE(X17:X19)</f>
        <v>26.036583305331167</v>
      </c>
      <c r="Z17" s="23" t="str">
        <f>IF(Y17&gt;=25,"GOOD","POOR")</f>
        <v>GOOD</v>
      </c>
    </row>
    <row r="18" spans="1:26" x14ac:dyDescent="0.3">
      <c r="A18" s="5"/>
      <c r="B18" s="6"/>
      <c r="C18" s="18"/>
      <c r="D18" s="6"/>
      <c r="E18" s="8"/>
      <c r="F18" s="9"/>
      <c r="G18" s="10"/>
      <c r="H18" s="11"/>
      <c r="J18" s="5"/>
      <c r="K18" s="6"/>
      <c r="L18" s="17"/>
      <c r="M18" s="6"/>
      <c r="N18" s="8"/>
      <c r="O18" s="9"/>
      <c r="P18" s="10"/>
      <c r="Q18" s="11"/>
      <c r="S18" s="21"/>
      <c r="T18" s="3" t="s">
        <v>9</v>
      </c>
      <c r="U18" s="12">
        <v>29.95202660854369</v>
      </c>
      <c r="V18" s="3">
        <v>120</v>
      </c>
      <c r="W18" s="16">
        <f t="shared" si="4"/>
        <v>4.0064066972273089</v>
      </c>
      <c r="X18" s="4">
        <f t="shared" si="5"/>
        <v>25.53210457780434</v>
      </c>
      <c r="Y18" s="22"/>
      <c r="Z18" s="23"/>
    </row>
    <row r="19" spans="1:26" x14ac:dyDescent="0.3">
      <c r="A19" s="5"/>
      <c r="B19" s="6"/>
      <c r="C19" s="18"/>
      <c r="D19" s="6"/>
      <c r="E19" s="8"/>
      <c r="F19" s="9"/>
      <c r="G19" s="10"/>
      <c r="H19" s="11"/>
      <c r="J19" s="5"/>
      <c r="K19" s="6"/>
      <c r="L19" s="17"/>
      <c r="M19" s="6"/>
      <c r="N19" s="8"/>
      <c r="O19" s="9"/>
      <c r="P19" s="10"/>
      <c r="Q19" s="11"/>
      <c r="S19" s="21"/>
      <c r="T19" s="3" t="s">
        <v>10</v>
      </c>
      <c r="U19" s="12">
        <v>30.038251188643834</v>
      </c>
      <c r="V19" s="3">
        <v>120</v>
      </c>
      <c r="W19" s="16">
        <f t="shared" si="4"/>
        <v>3.9949063361373987</v>
      </c>
      <c r="X19" s="4">
        <f t="shared" si="5"/>
        <v>25.375641563506118</v>
      </c>
      <c r="Y19" s="22"/>
      <c r="Z19" s="23"/>
    </row>
    <row r="20" spans="1:26" x14ac:dyDescent="0.3">
      <c r="A20" s="5"/>
      <c r="B20" s="6"/>
      <c r="C20" s="18"/>
      <c r="D20" s="6"/>
      <c r="E20" s="8"/>
      <c r="F20" s="9"/>
      <c r="G20" s="10"/>
      <c r="H20" s="11"/>
      <c r="J20" s="5"/>
      <c r="K20" s="6"/>
      <c r="L20" s="17"/>
      <c r="M20" s="6"/>
      <c r="N20" s="8"/>
      <c r="O20" s="9"/>
      <c r="P20" s="10"/>
      <c r="Q20" s="11"/>
      <c r="S20" s="21" t="s">
        <v>36</v>
      </c>
      <c r="T20" s="3" t="s">
        <v>8</v>
      </c>
      <c r="U20" s="12">
        <v>29.350159898525508</v>
      </c>
      <c r="V20" s="3">
        <v>120</v>
      </c>
      <c r="W20" s="16">
        <f t="shared" si="4"/>
        <v>4.0885637562072894</v>
      </c>
      <c r="X20" s="4">
        <f t="shared" si="5"/>
        <v>26.678276269240278</v>
      </c>
      <c r="Y20" s="22">
        <f>AVERAGE(X20:X22)</f>
        <v>25.747702766876262</v>
      </c>
      <c r="Z20" s="23" t="str">
        <f>IF(Y20&gt;=25,"GOOD","POOR")</f>
        <v>GOOD</v>
      </c>
    </row>
    <row r="21" spans="1:26" x14ac:dyDescent="0.3">
      <c r="A21" s="5"/>
      <c r="B21" s="6"/>
      <c r="C21" s="18"/>
      <c r="D21" s="6"/>
      <c r="E21" s="8"/>
      <c r="F21" s="9"/>
      <c r="G21" s="10"/>
      <c r="H21" s="11"/>
      <c r="J21" s="5"/>
      <c r="K21" s="6"/>
      <c r="L21" s="17"/>
      <c r="M21" s="6"/>
      <c r="N21" s="8"/>
      <c r="O21" s="9"/>
      <c r="P21" s="10"/>
      <c r="Q21" s="11"/>
      <c r="S21" s="21"/>
      <c r="T21" s="3" t="s">
        <v>9</v>
      </c>
      <c r="U21" s="12">
        <v>30.879657760211472</v>
      </c>
      <c r="V21" s="3">
        <v>120</v>
      </c>
      <c r="W21" s="16">
        <f t="shared" si="4"/>
        <v>3.8860534314153035</v>
      </c>
      <c r="X21" s="4">
        <f t="shared" si="5"/>
        <v>23.941368033634674</v>
      </c>
      <c r="Y21" s="22"/>
      <c r="Z21" s="23"/>
    </row>
    <row r="22" spans="1:26" x14ac:dyDescent="0.3">
      <c r="A22" s="5"/>
      <c r="B22" s="6"/>
      <c r="C22" s="18"/>
      <c r="D22" s="6"/>
      <c r="E22" s="8"/>
      <c r="F22" s="9"/>
      <c r="G22" s="10"/>
      <c r="H22" s="11"/>
      <c r="J22" s="5"/>
      <c r="K22" s="6"/>
      <c r="L22" s="17"/>
      <c r="M22" s="6"/>
      <c r="N22" s="8"/>
      <c r="O22" s="9"/>
      <c r="P22" s="10"/>
      <c r="Q22" s="11"/>
      <c r="S22" s="21"/>
      <c r="T22" s="3" t="s">
        <v>10</v>
      </c>
      <c r="U22" s="12">
        <v>29.377808136977613</v>
      </c>
      <c r="V22" s="3">
        <v>120</v>
      </c>
      <c r="W22" s="16">
        <f t="shared" si="4"/>
        <v>4.0847158998549302</v>
      </c>
      <c r="X22" s="4">
        <f t="shared" si="5"/>
        <v>26.623463997753841</v>
      </c>
      <c r="Y22" s="22"/>
      <c r="Z22" s="23"/>
    </row>
    <row r="23" spans="1:26" x14ac:dyDescent="0.3">
      <c r="A23" s="5"/>
      <c r="B23" s="6"/>
      <c r="C23" s="17"/>
      <c r="D23" s="6"/>
      <c r="E23" s="8"/>
      <c r="F23" s="9"/>
      <c r="G23" s="10"/>
      <c r="H23" s="11"/>
    </row>
    <row r="24" spans="1:26" x14ac:dyDescent="0.3">
      <c r="A24" s="5"/>
      <c r="B24" s="6"/>
      <c r="C24" s="17"/>
      <c r="D24" s="6"/>
      <c r="E24" s="8"/>
      <c r="F24" s="9"/>
      <c r="G24" s="10"/>
      <c r="H24" s="11"/>
    </row>
    <row r="25" spans="1:26" x14ac:dyDescent="0.3">
      <c r="A25" s="5"/>
      <c r="B25" s="6"/>
      <c r="C25" s="17"/>
      <c r="D25" s="6"/>
      <c r="E25" s="8"/>
      <c r="F25" s="9"/>
      <c r="G25" s="10"/>
      <c r="H25" s="11"/>
    </row>
    <row r="26" spans="1:26" x14ac:dyDescent="0.3">
      <c r="A26" s="5"/>
      <c r="B26" s="6"/>
      <c r="C26" s="17"/>
      <c r="D26" s="6"/>
      <c r="E26" s="8"/>
      <c r="F26" s="9"/>
      <c r="G26" s="10"/>
      <c r="H26" s="11"/>
    </row>
    <row r="27" spans="1:26" x14ac:dyDescent="0.3">
      <c r="A27" s="5"/>
      <c r="B27" s="6"/>
      <c r="C27" s="17"/>
      <c r="D27" s="6"/>
      <c r="E27" s="8"/>
      <c r="F27" s="9"/>
      <c r="G27" s="10"/>
      <c r="H27" s="11"/>
    </row>
    <row r="28" spans="1:26" x14ac:dyDescent="0.3">
      <c r="A28" s="5"/>
      <c r="B28" s="6"/>
      <c r="C28" s="17"/>
      <c r="D28" s="6"/>
      <c r="E28" s="8"/>
      <c r="F28" s="9"/>
      <c r="G28" s="10"/>
      <c r="H28" s="11"/>
    </row>
    <row r="29" spans="1:26" x14ac:dyDescent="0.3">
      <c r="A29" s="5"/>
      <c r="B29" s="6"/>
      <c r="C29" s="7"/>
      <c r="D29" s="6"/>
      <c r="E29" s="8"/>
      <c r="F29" s="9"/>
      <c r="G29" s="10"/>
      <c r="H29" s="11"/>
    </row>
    <row r="30" spans="1:26" x14ac:dyDescent="0.3">
      <c r="A30" s="5"/>
      <c r="B30" s="6"/>
      <c r="C30" s="7"/>
      <c r="D30" s="6"/>
      <c r="E30" s="8"/>
      <c r="F30" s="9"/>
      <c r="G30" s="10"/>
      <c r="H30" s="11"/>
    </row>
    <row r="31" spans="1:26" x14ac:dyDescent="0.3">
      <c r="A31" s="5"/>
      <c r="B31" s="6"/>
      <c r="C31" s="7"/>
      <c r="D31" s="6"/>
      <c r="E31" s="8"/>
      <c r="F31" s="9"/>
      <c r="G31" s="10"/>
      <c r="H31" s="11"/>
    </row>
  </sheetData>
  <mergeCells count="39">
    <mergeCell ref="S20:S22"/>
    <mergeCell ref="Y20:Y22"/>
    <mergeCell ref="Z20:Z22"/>
    <mergeCell ref="S14:S16"/>
    <mergeCell ref="Y14:Y16"/>
    <mergeCell ref="Z14:Z16"/>
    <mergeCell ref="S17:S19"/>
    <mergeCell ref="Y17:Y19"/>
    <mergeCell ref="Z17:Z19"/>
    <mergeCell ref="J11:J13"/>
    <mergeCell ref="P11:P13"/>
    <mergeCell ref="Q11:Q13"/>
    <mergeCell ref="S11:S13"/>
    <mergeCell ref="Y11:Y13"/>
    <mergeCell ref="Z11:Z13"/>
    <mergeCell ref="Y5:Y7"/>
    <mergeCell ref="Z5:Z7"/>
    <mergeCell ref="J8:J10"/>
    <mergeCell ref="P8:P10"/>
    <mergeCell ref="Q8:Q10"/>
    <mergeCell ref="S8:S10"/>
    <mergeCell ref="Y8:Y10"/>
    <mergeCell ref="Z8:Z10"/>
    <mergeCell ref="S2:S4"/>
    <mergeCell ref="Y2:Y4"/>
    <mergeCell ref="Z2:Z4"/>
    <mergeCell ref="A5:A7"/>
    <mergeCell ref="G5:G7"/>
    <mergeCell ref="H5:H7"/>
    <mergeCell ref="J5:J7"/>
    <mergeCell ref="P5:P7"/>
    <mergeCell ref="Q5:Q7"/>
    <mergeCell ref="S5:S7"/>
    <mergeCell ref="A2:A4"/>
    <mergeCell ref="G2:G4"/>
    <mergeCell ref="H2:H4"/>
    <mergeCell ref="J2:J4"/>
    <mergeCell ref="P2:P4"/>
    <mergeCell ref="Q2:Q4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BB3E-BF84-4052-90D5-DB7D053A52F4}">
  <dimension ref="A1:Z31"/>
  <sheetViews>
    <sheetView topLeftCell="H1" workbookViewId="0">
      <selection activeCell="Y1" sqref="Y1"/>
    </sheetView>
  </sheetViews>
  <sheetFormatPr defaultRowHeight="14.4" x14ac:dyDescent="0.3"/>
  <sheetData>
    <row r="1" spans="1:26" ht="86.4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6</v>
      </c>
      <c r="J1" s="1" t="s">
        <v>0</v>
      </c>
      <c r="K1" s="1" t="s">
        <v>1</v>
      </c>
      <c r="L1" s="2" t="s">
        <v>2</v>
      </c>
      <c r="M1" s="1" t="s">
        <v>3</v>
      </c>
      <c r="N1" s="1" t="s">
        <v>4</v>
      </c>
      <c r="O1" s="1" t="s">
        <v>5</v>
      </c>
      <c r="P1" s="1" t="s">
        <v>40</v>
      </c>
      <c r="Q1" s="1" t="s">
        <v>6</v>
      </c>
      <c r="S1" s="1" t="s">
        <v>0</v>
      </c>
      <c r="T1" s="1" t="s">
        <v>1</v>
      </c>
      <c r="U1" s="2" t="s">
        <v>2</v>
      </c>
      <c r="V1" s="1" t="s">
        <v>3</v>
      </c>
      <c r="W1" s="1" t="s">
        <v>4</v>
      </c>
      <c r="X1" s="1" t="s">
        <v>5</v>
      </c>
      <c r="Y1" s="1" t="s">
        <v>40</v>
      </c>
      <c r="Z1" s="1" t="s">
        <v>6</v>
      </c>
    </row>
    <row r="2" spans="1:26" x14ac:dyDescent="0.3">
      <c r="A2" s="21" t="s">
        <v>7</v>
      </c>
      <c r="B2" s="3" t="s">
        <v>8</v>
      </c>
      <c r="C2" s="12">
        <v>25.9</v>
      </c>
      <c r="D2" s="3">
        <v>120</v>
      </c>
      <c r="E2" s="16">
        <f t="shared" ref="E2:E7" si="0">D2/C2</f>
        <v>4.6332046332046337</v>
      </c>
      <c r="F2" s="4">
        <f t="shared" ref="F2:F7" si="1">2.9997*EXP(0.5345*E2)</f>
        <v>35.693198774417937</v>
      </c>
      <c r="G2" s="22">
        <f>AVERAGE(F2:F4)</f>
        <v>25.95179389508553</v>
      </c>
      <c r="H2" s="23" t="str">
        <f>IF(G2&gt;=25,"GOOD","POOR")</f>
        <v>GOOD</v>
      </c>
      <c r="J2" s="21" t="s">
        <v>18</v>
      </c>
      <c r="K2" s="3" t="s">
        <v>8</v>
      </c>
      <c r="L2" s="12">
        <v>32.700000000000003</v>
      </c>
      <c r="M2" s="3">
        <v>120</v>
      </c>
      <c r="N2" s="16">
        <f t="shared" ref="N2:N13" si="2">M2/L2</f>
        <v>3.6697247706422016</v>
      </c>
      <c r="O2" s="4">
        <f t="shared" ref="O2:O13" si="3">2.9997*EXP(0.5345*N2)</f>
        <v>21.327134317028193</v>
      </c>
      <c r="P2" s="22">
        <f>AVERAGE(O2:O4)</f>
        <v>25.704422298607653</v>
      </c>
      <c r="Q2" s="23" t="str">
        <f>IF(P2&gt;=25,"GOOD","POOR")</f>
        <v>GOOD</v>
      </c>
      <c r="S2" s="21" t="s">
        <v>22</v>
      </c>
      <c r="T2" s="3" t="s">
        <v>8</v>
      </c>
      <c r="U2" s="12">
        <v>29.451871399824281</v>
      </c>
      <c r="V2" s="3">
        <v>120</v>
      </c>
      <c r="W2" s="16">
        <f t="shared" ref="W2:W22" si="4">V2/U2</f>
        <v>4.0744439757643365</v>
      </c>
      <c r="X2" s="4">
        <f t="shared" ref="X2:X22" si="5">2.9997*EXP(0.5345*W2)</f>
        <v>26.477692570978633</v>
      </c>
      <c r="Y2" s="22">
        <f>AVERAGE(X2:X4)</f>
        <v>26.0933733459172</v>
      </c>
      <c r="Z2" s="23" t="str">
        <f>IF(Y2&gt;=25,"GOOD","POOR")</f>
        <v>GOOD</v>
      </c>
    </row>
    <row r="3" spans="1:26" x14ac:dyDescent="0.3">
      <c r="A3" s="21"/>
      <c r="B3" s="3" t="s">
        <v>9</v>
      </c>
      <c r="C3" s="12">
        <v>32.6</v>
      </c>
      <c r="D3" s="3">
        <v>120</v>
      </c>
      <c r="E3" s="16">
        <f t="shared" si="0"/>
        <v>3.6809815950920242</v>
      </c>
      <c r="F3" s="4">
        <f t="shared" si="1"/>
        <v>21.455841648977835</v>
      </c>
      <c r="G3" s="22"/>
      <c r="H3" s="23"/>
      <c r="J3" s="21"/>
      <c r="K3" s="3" t="s">
        <v>9</v>
      </c>
      <c r="L3" s="12">
        <v>29.5</v>
      </c>
      <c r="M3" s="3">
        <v>120</v>
      </c>
      <c r="N3" s="16">
        <f t="shared" si="2"/>
        <v>4.0677966101694913</v>
      </c>
      <c r="O3" s="4">
        <f t="shared" si="3"/>
        <v>26.383783810023683</v>
      </c>
      <c r="P3" s="22"/>
      <c r="Q3" s="23"/>
      <c r="S3" s="21"/>
      <c r="T3" s="3" t="s">
        <v>9</v>
      </c>
      <c r="U3" s="12">
        <v>30.449597225128812</v>
      </c>
      <c r="V3" s="3">
        <v>120</v>
      </c>
      <c r="W3" s="16">
        <f t="shared" si="4"/>
        <v>3.9409388279516842</v>
      </c>
      <c r="X3" s="4">
        <f t="shared" si="5"/>
        <v>24.65412149714976</v>
      </c>
      <c r="Y3" s="22"/>
      <c r="Z3" s="23"/>
    </row>
    <row r="4" spans="1:26" x14ac:dyDescent="0.3">
      <c r="A4" s="21"/>
      <c r="B4" s="3" t="s">
        <v>10</v>
      </c>
      <c r="C4" s="12">
        <v>33.200000000000003</v>
      </c>
      <c r="D4" s="3">
        <v>120</v>
      </c>
      <c r="E4" s="16">
        <f t="shared" si="0"/>
        <v>3.6144578313253009</v>
      </c>
      <c r="F4" s="4">
        <f t="shared" si="1"/>
        <v>20.706341261860814</v>
      </c>
      <c r="G4" s="22"/>
      <c r="H4" s="23"/>
      <c r="J4" s="21"/>
      <c r="K4" s="3" t="s">
        <v>10</v>
      </c>
      <c r="L4" s="12">
        <v>28.1</v>
      </c>
      <c r="M4" s="3">
        <v>120</v>
      </c>
      <c r="N4" s="16">
        <f t="shared" si="2"/>
        <v>4.2704626334519569</v>
      </c>
      <c r="O4" s="4">
        <f t="shared" si="3"/>
        <v>29.402348768771091</v>
      </c>
      <c r="P4" s="22"/>
      <c r="Q4" s="23"/>
      <c r="S4" s="21"/>
      <c r="T4" s="3" t="s">
        <v>10</v>
      </c>
      <c r="U4" s="12">
        <v>29.117455566324125</v>
      </c>
      <c r="V4" s="3">
        <v>120</v>
      </c>
      <c r="W4" s="16">
        <f t="shared" si="4"/>
        <v>4.1212392245834257</v>
      </c>
      <c r="X4" s="4">
        <f t="shared" si="5"/>
        <v>27.148305969623216</v>
      </c>
      <c r="Y4" s="22"/>
      <c r="Z4" s="23"/>
    </row>
    <row r="5" spans="1:26" x14ac:dyDescent="0.3">
      <c r="A5" s="21" t="s">
        <v>11</v>
      </c>
      <c r="B5" s="3" t="s">
        <v>8</v>
      </c>
      <c r="C5" s="12">
        <v>30.407975488239209</v>
      </c>
      <c r="D5" s="3">
        <v>120</v>
      </c>
      <c r="E5" s="16">
        <f t="shared" si="0"/>
        <v>3.9463330943032364</v>
      </c>
      <c r="F5" s="4">
        <f t="shared" si="1"/>
        <v>24.725307706124088</v>
      </c>
      <c r="G5" s="22">
        <f t="shared" ref="G5" si="6">AVERAGE(F5:F7)</f>
        <v>25.173914685595701</v>
      </c>
      <c r="H5" s="23" t="str">
        <f t="shared" ref="H5" si="7">IF(G5&gt;=25,"GOOD","POOR")</f>
        <v>GOOD</v>
      </c>
      <c r="J5" s="21" t="s">
        <v>19</v>
      </c>
      <c r="K5" s="3" t="s">
        <v>8</v>
      </c>
      <c r="L5" s="12">
        <v>30.376618981076231</v>
      </c>
      <c r="M5" s="3">
        <v>120</v>
      </c>
      <c r="N5" s="16">
        <f t="shared" si="2"/>
        <v>3.9504067281074495</v>
      </c>
      <c r="O5" s="4">
        <f t="shared" si="3"/>
        <v>24.779202187047844</v>
      </c>
      <c r="P5" s="22">
        <f t="shared" ref="P5" si="8">AVERAGE(O5:O7)</f>
        <v>25.835366893406871</v>
      </c>
      <c r="Q5" s="23" t="str">
        <f t="shared" ref="Q5" si="9">IF(P5&gt;=25,"GOOD","POOR")</f>
        <v>GOOD</v>
      </c>
      <c r="S5" s="21" t="s">
        <v>23</v>
      </c>
      <c r="T5" s="3" t="s">
        <v>8</v>
      </c>
      <c r="U5" s="12">
        <v>29.142983616562859</v>
      </c>
      <c r="V5" s="3">
        <v>120</v>
      </c>
      <c r="W5" s="16">
        <f t="shared" si="4"/>
        <v>4.1176291892021748</v>
      </c>
      <c r="X5" s="4">
        <f t="shared" si="5"/>
        <v>27.095972085196774</v>
      </c>
      <c r="Y5" s="22">
        <f t="shared" ref="Y5" si="10">AVERAGE(X5:X7)</f>
        <v>26.450357690839297</v>
      </c>
      <c r="Z5" s="23" t="str">
        <f t="shared" ref="Z5" si="11">IF(Y5&gt;=25,"GOOD","POOR")</f>
        <v>GOOD</v>
      </c>
    </row>
    <row r="6" spans="1:26" x14ac:dyDescent="0.3">
      <c r="A6" s="21"/>
      <c r="B6" s="3" t="s">
        <v>9</v>
      </c>
      <c r="C6" s="12">
        <v>30.1</v>
      </c>
      <c r="D6" s="3">
        <v>120</v>
      </c>
      <c r="E6" s="16">
        <f t="shared" si="0"/>
        <v>3.9867109634551494</v>
      </c>
      <c r="F6" s="4">
        <f t="shared" si="1"/>
        <v>25.264728526271583</v>
      </c>
      <c r="G6" s="22"/>
      <c r="H6" s="23"/>
      <c r="J6" s="21"/>
      <c r="K6" s="3" t="s">
        <v>9</v>
      </c>
      <c r="L6" s="12">
        <v>29.823290130309925</v>
      </c>
      <c r="M6" s="3">
        <v>120</v>
      </c>
      <c r="N6" s="16">
        <f t="shared" si="2"/>
        <v>4.0237009221877207</v>
      </c>
      <c r="O6" s="4">
        <f t="shared" si="3"/>
        <v>25.76921149935723</v>
      </c>
      <c r="P6" s="22"/>
      <c r="Q6" s="23"/>
      <c r="S6" s="21"/>
      <c r="T6" s="3" t="s">
        <v>9</v>
      </c>
      <c r="U6" s="12">
        <v>29.34108761382851</v>
      </c>
      <c r="V6" s="3">
        <v>120</v>
      </c>
      <c r="W6" s="16">
        <f t="shared" si="4"/>
        <v>4.0898279429643152</v>
      </c>
      <c r="X6" s="4">
        <f t="shared" si="5"/>
        <v>26.696309080952858</v>
      </c>
      <c r="Y6" s="22"/>
      <c r="Z6" s="23"/>
    </row>
    <row r="7" spans="1:26" x14ac:dyDescent="0.3">
      <c r="A7" s="21"/>
      <c r="B7" s="3" t="s">
        <v>10</v>
      </c>
      <c r="C7" s="12">
        <v>29.952243960749851</v>
      </c>
      <c r="D7" s="3">
        <v>120</v>
      </c>
      <c r="E7" s="16">
        <f t="shared" si="0"/>
        <v>4.0063776242357978</v>
      </c>
      <c r="F7" s="4">
        <f t="shared" si="1"/>
        <v>25.531707824391439</v>
      </c>
      <c r="G7" s="22"/>
      <c r="H7" s="23"/>
      <c r="J7" s="21"/>
      <c r="K7" s="3" t="s">
        <v>10</v>
      </c>
      <c r="L7" s="12">
        <v>29.21089320516133</v>
      </c>
      <c r="M7" s="3">
        <v>120</v>
      </c>
      <c r="N7" s="16">
        <f t="shared" si="2"/>
        <v>4.10805651019247</v>
      </c>
      <c r="O7" s="4">
        <f t="shared" si="3"/>
        <v>26.95768699381555</v>
      </c>
      <c r="P7" s="22"/>
      <c r="Q7" s="23"/>
      <c r="S7" s="21"/>
      <c r="T7" s="3" t="s">
        <v>10</v>
      </c>
      <c r="U7" s="12">
        <v>29.937421551268422</v>
      </c>
      <c r="V7" s="3">
        <v>120</v>
      </c>
      <c r="W7" s="16">
        <f t="shared" si="4"/>
        <v>4.0083612342665402</v>
      </c>
      <c r="X7" s="4">
        <f t="shared" si="5"/>
        <v>25.55879190636826</v>
      </c>
      <c r="Y7" s="22"/>
      <c r="Z7" s="23"/>
    </row>
    <row r="8" spans="1:26" x14ac:dyDescent="0.3">
      <c r="A8" s="5"/>
      <c r="B8" s="6"/>
      <c r="C8" s="18"/>
      <c r="D8" s="6"/>
      <c r="E8" s="8"/>
      <c r="F8" s="9"/>
      <c r="G8" s="10"/>
      <c r="H8" s="11"/>
      <c r="J8" s="21" t="s">
        <v>20</v>
      </c>
      <c r="K8" s="3" t="s">
        <v>8</v>
      </c>
      <c r="L8" s="12">
        <v>32.799999999999997</v>
      </c>
      <c r="M8" s="3">
        <v>120</v>
      </c>
      <c r="N8" s="16">
        <f t="shared" si="2"/>
        <v>3.6585365853658538</v>
      </c>
      <c r="O8" s="4">
        <f t="shared" si="3"/>
        <v>21.199976825611262</v>
      </c>
      <c r="P8" s="22">
        <f t="shared" ref="P8" si="12">AVERAGE(O8:O10)</f>
        <v>25.434562202213272</v>
      </c>
      <c r="Q8" s="23" t="str">
        <f t="shared" ref="Q8" si="13">IF(P8&gt;=25,"GOOD","POOR")</f>
        <v>GOOD</v>
      </c>
      <c r="S8" s="21" t="s">
        <v>24</v>
      </c>
      <c r="T8" s="3" t="s">
        <v>8</v>
      </c>
      <c r="U8" s="12">
        <v>29.313981740187401</v>
      </c>
      <c r="V8" s="3">
        <v>120</v>
      </c>
      <c r="W8" s="16">
        <f t="shared" si="4"/>
        <v>4.0936097000936744</v>
      </c>
      <c r="X8" s="4">
        <f t="shared" si="5"/>
        <v>26.750326218930056</v>
      </c>
      <c r="Y8" s="22">
        <f t="shared" ref="Y8" si="14">AVERAGE(X8:X10)</f>
        <v>25.306882890376169</v>
      </c>
      <c r="Z8" s="23" t="str">
        <f t="shared" ref="Z8" si="15">IF(Y8&gt;=25,"GOOD","POOR")</f>
        <v>GOOD</v>
      </c>
    </row>
    <row r="9" spans="1:26" x14ac:dyDescent="0.3">
      <c r="A9" s="5"/>
      <c r="B9" s="6"/>
      <c r="C9" s="18"/>
      <c r="D9" s="6"/>
      <c r="E9" s="8"/>
      <c r="F9" s="9"/>
      <c r="G9" s="10"/>
      <c r="H9" s="11"/>
      <c r="J9" s="21"/>
      <c r="K9" s="3" t="s">
        <v>9</v>
      </c>
      <c r="L9" s="12">
        <v>30.72073383633877</v>
      </c>
      <c r="M9" s="3">
        <v>120</v>
      </c>
      <c r="N9" s="16">
        <f t="shared" si="2"/>
        <v>3.9061566901131468</v>
      </c>
      <c r="O9" s="4">
        <f t="shared" si="3"/>
        <v>24.200009713170772</v>
      </c>
      <c r="P9" s="22"/>
      <c r="Q9" s="23"/>
      <c r="S9" s="21"/>
      <c r="T9" s="3" t="s">
        <v>9</v>
      </c>
      <c r="U9" s="12">
        <v>30.229635170799902</v>
      </c>
      <c r="V9" s="3">
        <v>120</v>
      </c>
      <c r="W9" s="16">
        <f t="shared" si="4"/>
        <v>3.9696145627292627</v>
      </c>
      <c r="X9" s="4">
        <f t="shared" si="5"/>
        <v>25.034910416535016</v>
      </c>
      <c r="Y9" s="22"/>
      <c r="Z9" s="23"/>
    </row>
    <row r="10" spans="1:26" x14ac:dyDescent="0.3">
      <c r="A10" s="5"/>
      <c r="B10" s="6"/>
      <c r="C10" s="18"/>
      <c r="D10" s="6"/>
      <c r="E10" s="8"/>
      <c r="F10" s="9"/>
      <c r="G10" s="10"/>
      <c r="H10" s="11"/>
      <c r="J10" s="21"/>
      <c r="K10" s="3" t="s">
        <v>10</v>
      </c>
      <c r="L10" s="12">
        <v>27.5</v>
      </c>
      <c r="M10" s="3">
        <v>120</v>
      </c>
      <c r="N10" s="16">
        <f t="shared" si="2"/>
        <v>4.3636363636363633</v>
      </c>
      <c r="O10" s="4">
        <f t="shared" si="3"/>
        <v>30.903700067857791</v>
      </c>
      <c r="P10" s="22"/>
      <c r="Q10" s="23"/>
      <c r="S10" s="21"/>
      <c r="T10" s="3" t="s">
        <v>10</v>
      </c>
      <c r="U10" s="12">
        <v>30.76011351879033</v>
      </c>
      <c r="V10" s="3">
        <v>120</v>
      </c>
      <c r="W10" s="16">
        <f t="shared" si="4"/>
        <v>3.9011559540147989</v>
      </c>
      <c r="X10" s="4">
        <f t="shared" si="5"/>
        <v>24.135412035663435</v>
      </c>
      <c r="Y10" s="22"/>
      <c r="Z10" s="23"/>
    </row>
    <row r="11" spans="1:26" x14ac:dyDescent="0.3">
      <c r="A11" s="5"/>
      <c r="B11" s="6"/>
      <c r="C11" s="18"/>
      <c r="D11" s="6"/>
      <c r="E11" s="8"/>
      <c r="F11" s="9"/>
      <c r="G11" s="10"/>
      <c r="H11" s="11"/>
      <c r="J11" s="21" t="s">
        <v>21</v>
      </c>
      <c r="K11" s="3" t="s">
        <v>8</v>
      </c>
      <c r="L11" s="12">
        <v>29.287704773558747</v>
      </c>
      <c r="M11" s="3">
        <v>120</v>
      </c>
      <c r="N11" s="16">
        <f t="shared" si="2"/>
        <v>4.0972824920147817</v>
      </c>
      <c r="O11" s="4">
        <f t="shared" si="3"/>
        <v>26.802891557940395</v>
      </c>
      <c r="P11" s="22">
        <f t="shared" ref="P11" si="16">AVERAGE(O11:O13)</f>
        <v>26.380290938618117</v>
      </c>
      <c r="Q11" s="23" t="str">
        <f t="shared" ref="Q11" si="17">IF(P11&gt;=25,"GOOD","POOR")</f>
        <v>GOOD</v>
      </c>
      <c r="S11" s="21" t="s">
        <v>25</v>
      </c>
      <c r="T11" s="3" t="s">
        <v>8</v>
      </c>
      <c r="U11" s="12">
        <v>29.169655142114173</v>
      </c>
      <c r="V11" s="3">
        <v>120</v>
      </c>
      <c r="W11" s="16">
        <f t="shared" si="4"/>
        <v>4.1138641994689893</v>
      </c>
      <c r="X11" s="4">
        <f t="shared" si="5"/>
        <v>27.041499331398839</v>
      </c>
      <c r="Y11" s="22">
        <f t="shared" ref="Y11" si="18">AVERAGE(X11:X13)</f>
        <v>25.580990041560653</v>
      </c>
      <c r="Z11" s="23" t="str">
        <f t="shared" ref="Z11" si="19">IF(Y11&gt;=25,"GOOD","POOR")</f>
        <v>GOOD</v>
      </c>
    </row>
    <row r="12" spans="1:26" x14ac:dyDescent="0.3">
      <c r="A12" s="5"/>
      <c r="B12" s="6"/>
      <c r="C12" s="18"/>
      <c r="D12" s="6"/>
      <c r="E12" s="8"/>
      <c r="F12" s="9"/>
      <c r="G12" s="10"/>
      <c r="H12" s="11"/>
      <c r="J12" s="21"/>
      <c r="K12" s="3" t="s">
        <v>9</v>
      </c>
      <c r="L12" s="12">
        <v>30.142247941115755</v>
      </c>
      <c r="M12" s="3">
        <v>120</v>
      </c>
      <c r="N12" s="16">
        <f t="shared" si="2"/>
        <v>3.9811231144546828</v>
      </c>
      <c r="O12" s="4">
        <f t="shared" si="3"/>
        <v>25.18938280165953</v>
      </c>
      <c r="P12" s="22"/>
      <c r="Q12" s="23"/>
      <c r="S12" s="21"/>
      <c r="T12" s="3" t="s">
        <v>9</v>
      </c>
      <c r="U12" s="12">
        <v>30.605846211604081</v>
      </c>
      <c r="V12" s="3">
        <v>120</v>
      </c>
      <c r="W12" s="16">
        <f t="shared" si="4"/>
        <v>3.920819544420977</v>
      </c>
      <c r="X12" s="4">
        <f t="shared" si="5"/>
        <v>24.390417509958322</v>
      </c>
      <c r="Y12" s="22"/>
      <c r="Z12" s="23"/>
    </row>
    <row r="13" spans="1:26" x14ac:dyDescent="0.3">
      <c r="A13" s="5"/>
      <c r="B13" s="6"/>
      <c r="C13" s="18"/>
      <c r="D13" s="6"/>
      <c r="E13" s="8"/>
      <c r="F13" s="9"/>
      <c r="G13" s="10"/>
      <c r="H13" s="11"/>
      <c r="J13" s="21"/>
      <c r="K13" s="3" t="s">
        <v>10</v>
      </c>
      <c r="L13" s="12">
        <v>29.117313157562812</v>
      </c>
      <c r="M13" s="3">
        <v>120</v>
      </c>
      <c r="N13" s="16">
        <f t="shared" si="2"/>
        <v>4.1212593809958626</v>
      </c>
      <c r="O13" s="4">
        <f t="shared" si="3"/>
        <v>27.148598456254419</v>
      </c>
      <c r="P13" s="22"/>
      <c r="Q13" s="23"/>
      <c r="S13" s="21"/>
      <c r="T13" s="3" t="s">
        <v>10</v>
      </c>
      <c r="U13" s="12">
        <v>30.074145776243384</v>
      </c>
      <c r="V13" s="3">
        <v>120</v>
      </c>
      <c r="W13" s="16">
        <f t="shared" si="4"/>
        <v>3.9901382700216934</v>
      </c>
      <c r="X13" s="4">
        <f t="shared" si="5"/>
        <v>25.311053283324789</v>
      </c>
      <c r="Y13" s="22"/>
      <c r="Z13" s="23"/>
    </row>
    <row r="14" spans="1:26" x14ac:dyDescent="0.3">
      <c r="A14" s="5"/>
      <c r="B14" s="6"/>
      <c r="C14" s="18"/>
      <c r="D14" s="6"/>
      <c r="E14" s="8"/>
      <c r="F14" s="9"/>
      <c r="G14" s="10"/>
      <c r="H14" s="11"/>
      <c r="J14" s="5"/>
      <c r="K14" s="6"/>
      <c r="L14" s="17"/>
      <c r="M14" s="6"/>
      <c r="N14" s="8"/>
      <c r="O14" s="9"/>
      <c r="P14" s="10"/>
      <c r="Q14" s="11"/>
      <c r="S14" s="21" t="s">
        <v>26</v>
      </c>
      <c r="T14" s="3" t="s">
        <v>8</v>
      </c>
      <c r="U14" s="12">
        <v>30.848706972992854</v>
      </c>
      <c r="V14" s="3">
        <v>120</v>
      </c>
      <c r="W14" s="16">
        <f t="shared" si="4"/>
        <v>3.8899523440336257</v>
      </c>
      <c r="X14" s="4">
        <f t="shared" si="5"/>
        <v>23.991313121440804</v>
      </c>
      <c r="Y14" s="22">
        <f t="shared" ref="Y14" si="20">AVERAGE(X14:X16)</f>
        <v>25.066524104591739</v>
      </c>
      <c r="Z14" s="23" t="str">
        <f t="shared" ref="Z14" si="21">IF(Y14&gt;=25,"GOOD","POOR")</f>
        <v>GOOD</v>
      </c>
    </row>
    <row r="15" spans="1:26" x14ac:dyDescent="0.3">
      <c r="A15" s="5"/>
      <c r="B15" s="6"/>
      <c r="C15" s="18"/>
      <c r="D15" s="6"/>
      <c r="E15" s="8"/>
      <c r="F15" s="9"/>
      <c r="G15" s="10"/>
      <c r="H15" s="11"/>
      <c r="J15" s="5"/>
      <c r="K15" s="6"/>
      <c r="L15" s="17"/>
      <c r="M15" s="6"/>
      <c r="N15" s="8"/>
      <c r="O15" s="9"/>
      <c r="P15" s="10"/>
      <c r="Q15" s="11"/>
      <c r="S15" s="21"/>
      <c r="T15" s="3" t="s">
        <v>9</v>
      </c>
      <c r="U15" s="12">
        <v>29.516216326427468</v>
      </c>
      <c r="V15" s="3">
        <v>120</v>
      </c>
      <c r="W15" s="16">
        <f t="shared" si="4"/>
        <v>4.0655617465629392</v>
      </c>
      <c r="X15" s="4">
        <f t="shared" si="5"/>
        <v>26.352286283632182</v>
      </c>
      <c r="Y15" s="22"/>
      <c r="Z15" s="23"/>
    </row>
    <row r="16" spans="1:26" x14ac:dyDescent="0.3">
      <c r="A16" s="5"/>
      <c r="B16" s="6"/>
      <c r="C16" s="18"/>
      <c r="D16" s="6"/>
      <c r="E16" s="8"/>
      <c r="F16" s="9"/>
      <c r="G16" s="10"/>
      <c r="H16" s="11"/>
      <c r="J16" s="5"/>
      <c r="K16" s="6"/>
      <c r="L16" s="17"/>
      <c r="M16" s="6"/>
      <c r="N16" s="8"/>
      <c r="O16" s="9"/>
      <c r="P16" s="10"/>
      <c r="Q16" s="11"/>
      <c r="S16" s="21"/>
      <c r="T16" s="3" t="s">
        <v>10</v>
      </c>
      <c r="U16" s="12">
        <v>30.332181387828623</v>
      </c>
      <c r="V16" s="3">
        <v>120</v>
      </c>
      <c r="W16" s="16">
        <f t="shared" si="4"/>
        <v>3.9561941973666404</v>
      </c>
      <c r="X16" s="4">
        <f t="shared" si="5"/>
        <v>24.855972908702231</v>
      </c>
      <c r="Y16" s="22"/>
      <c r="Z16" s="23"/>
    </row>
    <row r="17" spans="1:26" x14ac:dyDescent="0.3">
      <c r="A17" s="5"/>
      <c r="B17" s="6"/>
      <c r="C17" s="18"/>
      <c r="D17" s="6"/>
      <c r="E17" s="8"/>
      <c r="F17" s="9"/>
      <c r="G17" s="10"/>
      <c r="H17" s="11"/>
      <c r="J17" s="5"/>
      <c r="K17" s="6"/>
      <c r="L17" s="17"/>
      <c r="M17" s="6"/>
      <c r="N17" s="8"/>
      <c r="O17" s="9"/>
      <c r="P17" s="10"/>
      <c r="Q17" s="11"/>
      <c r="S17" s="21" t="s">
        <v>27</v>
      </c>
      <c r="T17" s="3" t="s">
        <v>8</v>
      </c>
      <c r="U17" s="12">
        <v>29.091359615088074</v>
      </c>
      <c r="V17" s="3">
        <v>120</v>
      </c>
      <c r="W17" s="16">
        <f t="shared" si="4"/>
        <v>4.124936118068633</v>
      </c>
      <c r="X17" s="4">
        <f t="shared" si="5"/>
        <v>27.202003774683039</v>
      </c>
      <c r="Y17" s="22">
        <f>AVERAGE(X17:X19)</f>
        <v>26.036583305331167</v>
      </c>
      <c r="Z17" s="23" t="str">
        <f>IF(Y17&gt;=25,"GOOD","POOR")</f>
        <v>GOOD</v>
      </c>
    </row>
    <row r="18" spans="1:26" x14ac:dyDescent="0.3">
      <c r="A18" s="5"/>
      <c r="B18" s="6"/>
      <c r="C18" s="18"/>
      <c r="D18" s="6"/>
      <c r="E18" s="8"/>
      <c r="F18" s="9"/>
      <c r="G18" s="10"/>
      <c r="H18" s="11"/>
      <c r="J18" s="5"/>
      <c r="K18" s="6"/>
      <c r="L18" s="17"/>
      <c r="M18" s="6"/>
      <c r="N18" s="8"/>
      <c r="O18" s="9"/>
      <c r="P18" s="10"/>
      <c r="Q18" s="11"/>
      <c r="S18" s="21"/>
      <c r="T18" s="3" t="s">
        <v>9</v>
      </c>
      <c r="U18" s="12">
        <v>29.95202660854369</v>
      </c>
      <c r="V18" s="3">
        <v>120</v>
      </c>
      <c r="W18" s="16">
        <f t="shared" si="4"/>
        <v>4.0064066972273089</v>
      </c>
      <c r="X18" s="4">
        <f t="shared" si="5"/>
        <v>25.53210457780434</v>
      </c>
      <c r="Y18" s="22"/>
      <c r="Z18" s="23"/>
    </row>
    <row r="19" spans="1:26" x14ac:dyDescent="0.3">
      <c r="A19" s="5"/>
      <c r="B19" s="6"/>
      <c r="C19" s="18"/>
      <c r="D19" s="6"/>
      <c r="E19" s="8"/>
      <c r="F19" s="9"/>
      <c r="G19" s="10"/>
      <c r="H19" s="11"/>
      <c r="J19" s="5"/>
      <c r="K19" s="6"/>
      <c r="L19" s="17"/>
      <c r="M19" s="6"/>
      <c r="N19" s="8"/>
      <c r="O19" s="9"/>
      <c r="P19" s="10"/>
      <c r="Q19" s="11"/>
      <c r="S19" s="21"/>
      <c r="T19" s="3" t="s">
        <v>10</v>
      </c>
      <c r="U19" s="12">
        <v>30.038251188643834</v>
      </c>
      <c r="V19" s="3">
        <v>120</v>
      </c>
      <c r="W19" s="16">
        <f t="shared" si="4"/>
        <v>3.9949063361373987</v>
      </c>
      <c r="X19" s="4">
        <f t="shared" si="5"/>
        <v>25.375641563506118</v>
      </c>
      <c r="Y19" s="22"/>
      <c r="Z19" s="23"/>
    </row>
    <row r="20" spans="1:26" x14ac:dyDescent="0.3">
      <c r="A20" s="5"/>
      <c r="B20" s="6"/>
      <c r="C20" s="18"/>
      <c r="D20" s="6"/>
      <c r="E20" s="8"/>
      <c r="F20" s="9"/>
      <c r="G20" s="10"/>
      <c r="H20" s="11"/>
      <c r="J20" s="5"/>
      <c r="K20" s="6"/>
      <c r="L20" s="17"/>
      <c r="M20" s="6"/>
      <c r="N20" s="8"/>
      <c r="O20" s="9"/>
      <c r="P20" s="10"/>
      <c r="Q20" s="11"/>
      <c r="S20" s="21" t="s">
        <v>36</v>
      </c>
      <c r="T20" s="3" t="s">
        <v>8</v>
      </c>
      <c r="U20" s="12">
        <v>29.350159898525508</v>
      </c>
      <c r="V20" s="3">
        <v>120</v>
      </c>
      <c r="W20" s="16">
        <f t="shared" si="4"/>
        <v>4.0885637562072894</v>
      </c>
      <c r="X20" s="4">
        <f t="shared" si="5"/>
        <v>26.678276269240278</v>
      </c>
      <c r="Y20" s="22">
        <f>AVERAGE(X20:X22)</f>
        <v>25.747702766876262</v>
      </c>
      <c r="Z20" s="23" t="str">
        <f>IF(Y20&gt;=25,"GOOD","POOR")</f>
        <v>GOOD</v>
      </c>
    </row>
    <row r="21" spans="1:26" x14ac:dyDescent="0.3">
      <c r="A21" s="5"/>
      <c r="B21" s="6"/>
      <c r="C21" s="18"/>
      <c r="D21" s="6"/>
      <c r="E21" s="8"/>
      <c r="F21" s="9"/>
      <c r="G21" s="10"/>
      <c r="H21" s="11"/>
      <c r="J21" s="5"/>
      <c r="K21" s="6"/>
      <c r="L21" s="17"/>
      <c r="M21" s="6"/>
      <c r="N21" s="8"/>
      <c r="O21" s="9"/>
      <c r="P21" s="10"/>
      <c r="Q21" s="11"/>
      <c r="S21" s="21"/>
      <c r="T21" s="3" t="s">
        <v>9</v>
      </c>
      <c r="U21" s="12">
        <v>30.879657760211472</v>
      </c>
      <c r="V21" s="3">
        <v>120</v>
      </c>
      <c r="W21" s="16">
        <f t="shared" si="4"/>
        <v>3.8860534314153035</v>
      </c>
      <c r="X21" s="4">
        <f t="shared" si="5"/>
        <v>23.941368033634674</v>
      </c>
      <c r="Y21" s="22"/>
      <c r="Z21" s="23"/>
    </row>
    <row r="22" spans="1:26" x14ac:dyDescent="0.3">
      <c r="A22" s="5"/>
      <c r="B22" s="6"/>
      <c r="C22" s="18"/>
      <c r="D22" s="6"/>
      <c r="E22" s="8"/>
      <c r="F22" s="9"/>
      <c r="G22" s="10"/>
      <c r="H22" s="11"/>
      <c r="J22" s="5"/>
      <c r="K22" s="6"/>
      <c r="L22" s="17"/>
      <c r="M22" s="6"/>
      <c r="N22" s="8"/>
      <c r="O22" s="9"/>
      <c r="P22" s="10"/>
      <c r="Q22" s="11"/>
      <c r="S22" s="21"/>
      <c r="T22" s="3" t="s">
        <v>10</v>
      </c>
      <c r="U22" s="12">
        <v>29.377808136977613</v>
      </c>
      <c r="V22" s="3">
        <v>120</v>
      </c>
      <c r="W22" s="16">
        <f t="shared" si="4"/>
        <v>4.0847158998549302</v>
      </c>
      <c r="X22" s="4">
        <f t="shared" si="5"/>
        <v>26.623463997753841</v>
      </c>
      <c r="Y22" s="22"/>
      <c r="Z22" s="23"/>
    </row>
    <row r="23" spans="1:26" x14ac:dyDescent="0.3">
      <c r="A23" s="5"/>
      <c r="B23" s="6"/>
      <c r="C23" s="17"/>
      <c r="D23" s="6"/>
      <c r="E23" s="8"/>
      <c r="F23" s="9"/>
      <c r="G23" s="10"/>
      <c r="H23" s="11"/>
    </row>
    <row r="24" spans="1:26" x14ac:dyDescent="0.3">
      <c r="A24" s="5"/>
      <c r="B24" s="6"/>
      <c r="C24" s="17"/>
      <c r="D24" s="6"/>
      <c r="E24" s="8"/>
      <c r="F24" s="9"/>
      <c r="G24" s="10"/>
      <c r="H24" s="11"/>
    </row>
    <row r="25" spans="1:26" x14ac:dyDescent="0.3">
      <c r="A25" s="5"/>
      <c r="B25" s="6"/>
      <c r="C25" s="17"/>
      <c r="D25" s="6"/>
      <c r="E25" s="8"/>
      <c r="F25" s="9"/>
      <c r="G25" s="10"/>
      <c r="H25" s="11"/>
    </row>
    <row r="26" spans="1:26" x14ac:dyDescent="0.3">
      <c r="A26" s="5"/>
      <c r="B26" s="6"/>
      <c r="C26" s="17"/>
      <c r="D26" s="6"/>
      <c r="E26" s="8"/>
      <c r="F26" s="9"/>
      <c r="G26" s="10"/>
      <c r="H26" s="11"/>
    </row>
    <row r="27" spans="1:26" x14ac:dyDescent="0.3">
      <c r="A27" s="5"/>
      <c r="B27" s="6"/>
      <c r="C27" s="17"/>
      <c r="D27" s="6"/>
      <c r="E27" s="8"/>
      <c r="F27" s="9"/>
      <c r="G27" s="10"/>
      <c r="H27" s="11"/>
    </row>
    <row r="28" spans="1:26" x14ac:dyDescent="0.3">
      <c r="A28" s="5"/>
      <c r="B28" s="6"/>
      <c r="C28" s="17"/>
      <c r="D28" s="6"/>
      <c r="E28" s="8"/>
      <c r="F28" s="9"/>
      <c r="G28" s="10"/>
      <c r="H28" s="11"/>
    </row>
    <row r="29" spans="1:26" x14ac:dyDescent="0.3">
      <c r="A29" s="5"/>
      <c r="B29" s="6"/>
      <c r="C29" s="7"/>
      <c r="D29" s="6"/>
      <c r="E29" s="8"/>
      <c r="F29" s="9"/>
      <c r="G29" s="10"/>
      <c r="H29" s="11"/>
    </row>
    <row r="30" spans="1:26" x14ac:dyDescent="0.3">
      <c r="A30" s="5"/>
      <c r="B30" s="6"/>
      <c r="C30" s="7"/>
      <c r="D30" s="6"/>
      <c r="E30" s="8"/>
      <c r="F30" s="9"/>
      <c r="G30" s="10"/>
      <c r="H30" s="11"/>
    </row>
    <row r="31" spans="1:26" x14ac:dyDescent="0.3">
      <c r="A31" s="5"/>
      <c r="B31" s="6"/>
      <c r="C31" s="7"/>
      <c r="D31" s="6"/>
      <c r="E31" s="8"/>
      <c r="F31" s="9"/>
      <c r="G31" s="10"/>
      <c r="H31" s="11"/>
    </row>
  </sheetData>
  <mergeCells count="39">
    <mergeCell ref="S20:S22"/>
    <mergeCell ref="Y20:Y22"/>
    <mergeCell ref="Z20:Z22"/>
    <mergeCell ref="S14:S16"/>
    <mergeCell ref="Y14:Y16"/>
    <mergeCell ref="Z14:Z16"/>
    <mergeCell ref="S17:S19"/>
    <mergeCell ref="Y17:Y19"/>
    <mergeCell ref="Z17:Z19"/>
    <mergeCell ref="J11:J13"/>
    <mergeCell ref="P11:P13"/>
    <mergeCell ref="Q11:Q13"/>
    <mergeCell ref="S11:S13"/>
    <mergeCell ref="Y11:Y13"/>
    <mergeCell ref="Z11:Z13"/>
    <mergeCell ref="Y5:Y7"/>
    <mergeCell ref="Z5:Z7"/>
    <mergeCell ref="J8:J10"/>
    <mergeCell ref="P8:P10"/>
    <mergeCell ref="Q8:Q10"/>
    <mergeCell ref="S8:S10"/>
    <mergeCell ref="Y8:Y10"/>
    <mergeCell ref="Z8:Z10"/>
    <mergeCell ref="S2:S4"/>
    <mergeCell ref="Y2:Y4"/>
    <mergeCell ref="Z2:Z4"/>
    <mergeCell ref="A5:A7"/>
    <mergeCell ref="G5:G7"/>
    <mergeCell ref="H5:H7"/>
    <mergeCell ref="J5:J7"/>
    <mergeCell ref="P5:P7"/>
    <mergeCell ref="Q5:Q7"/>
    <mergeCell ref="S5:S7"/>
    <mergeCell ref="A2:A4"/>
    <mergeCell ref="G2:G4"/>
    <mergeCell ref="H2:H4"/>
    <mergeCell ref="J2:J4"/>
    <mergeCell ref="P2:P4"/>
    <mergeCell ref="Q2:Q4"/>
  </mergeCells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E3B5-AD05-4DAA-9AD9-31BE4DACB4D9}">
  <dimension ref="A1:Z31"/>
  <sheetViews>
    <sheetView topLeftCell="H1" workbookViewId="0">
      <selection activeCell="Y1" sqref="Y1"/>
    </sheetView>
  </sheetViews>
  <sheetFormatPr defaultRowHeight="14.4" x14ac:dyDescent="0.3"/>
  <sheetData>
    <row r="1" spans="1:26" ht="86.4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6</v>
      </c>
      <c r="J1" s="1" t="s">
        <v>0</v>
      </c>
      <c r="K1" s="1" t="s">
        <v>1</v>
      </c>
      <c r="L1" s="2" t="s">
        <v>2</v>
      </c>
      <c r="M1" s="1" t="s">
        <v>3</v>
      </c>
      <c r="N1" s="1" t="s">
        <v>4</v>
      </c>
      <c r="O1" s="1" t="s">
        <v>5</v>
      </c>
      <c r="P1" s="1" t="s">
        <v>40</v>
      </c>
      <c r="Q1" s="1" t="s">
        <v>6</v>
      </c>
      <c r="S1" s="1" t="s">
        <v>0</v>
      </c>
      <c r="T1" s="1" t="s">
        <v>1</v>
      </c>
      <c r="U1" s="2" t="s">
        <v>2</v>
      </c>
      <c r="V1" s="1" t="s">
        <v>3</v>
      </c>
      <c r="W1" s="1" t="s">
        <v>4</v>
      </c>
      <c r="X1" s="1" t="s">
        <v>5</v>
      </c>
      <c r="Y1" s="1" t="s">
        <v>40</v>
      </c>
      <c r="Z1" s="1" t="s">
        <v>6</v>
      </c>
    </row>
    <row r="2" spans="1:26" x14ac:dyDescent="0.3">
      <c r="A2" s="21" t="s">
        <v>7</v>
      </c>
      <c r="B2" s="3" t="s">
        <v>8</v>
      </c>
      <c r="C2" s="12">
        <v>25.9</v>
      </c>
      <c r="D2" s="3">
        <v>120</v>
      </c>
      <c r="E2" s="16">
        <f t="shared" ref="E2:E7" si="0">D2/C2</f>
        <v>4.6332046332046337</v>
      </c>
      <c r="F2" s="4">
        <f t="shared" ref="F2:F7" si="1">2.9997*EXP(0.5345*E2)</f>
        <v>35.693198774417937</v>
      </c>
      <c r="G2" s="22">
        <f>AVERAGE(F2:F4)</f>
        <v>25.95179389508553</v>
      </c>
      <c r="H2" s="23" t="str">
        <f>IF(G2&gt;=25,"GOOD","POOR")</f>
        <v>GOOD</v>
      </c>
      <c r="J2" s="21" t="s">
        <v>18</v>
      </c>
      <c r="K2" s="3" t="s">
        <v>8</v>
      </c>
      <c r="L2" s="12">
        <v>32.700000000000003</v>
      </c>
      <c r="M2" s="3">
        <v>120</v>
      </c>
      <c r="N2" s="16">
        <f t="shared" ref="N2:N13" si="2">M2/L2</f>
        <v>3.6697247706422016</v>
      </c>
      <c r="O2" s="4">
        <f t="shared" ref="O2:O13" si="3">2.9997*EXP(0.5345*N2)</f>
        <v>21.327134317028193</v>
      </c>
      <c r="P2" s="22">
        <f>AVERAGE(O2:O4)</f>
        <v>25.704422298607653</v>
      </c>
      <c r="Q2" s="23" t="str">
        <f>IF(P2&gt;=25,"GOOD","POOR")</f>
        <v>GOOD</v>
      </c>
      <c r="S2" s="21" t="s">
        <v>22</v>
      </c>
      <c r="T2" s="3" t="s">
        <v>8</v>
      </c>
      <c r="U2" s="12">
        <v>29.451871399824281</v>
      </c>
      <c r="V2" s="3">
        <v>120</v>
      </c>
      <c r="W2" s="16">
        <f t="shared" ref="W2:W22" si="4">V2/U2</f>
        <v>4.0744439757643365</v>
      </c>
      <c r="X2" s="4">
        <f t="shared" ref="X2:X22" si="5">2.9997*EXP(0.5345*W2)</f>
        <v>26.477692570978633</v>
      </c>
      <c r="Y2" s="22">
        <f>AVERAGE(X2:X4)</f>
        <v>26.0933733459172</v>
      </c>
      <c r="Z2" s="23" t="str">
        <f>IF(Y2&gt;=25,"GOOD","POOR")</f>
        <v>GOOD</v>
      </c>
    </row>
    <row r="3" spans="1:26" x14ac:dyDescent="0.3">
      <c r="A3" s="21"/>
      <c r="B3" s="3" t="s">
        <v>9</v>
      </c>
      <c r="C3" s="12">
        <v>32.6</v>
      </c>
      <c r="D3" s="3">
        <v>120</v>
      </c>
      <c r="E3" s="16">
        <f t="shared" si="0"/>
        <v>3.6809815950920242</v>
      </c>
      <c r="F3" s="4">
        <f t="shared" si="1"/>
        <v>21.455841648977835</v>
      </c>
      <c r="G3" s="22"/>
      <c r="H3" s="23"/>
      <c r="J3" s="21"/>
      <c r="K3" s="3" t="s">
        <v>9</v>
      </c>
      <c r="L3" s="12">
        <v>29.5</v>
      </c>
      <c r="M3" s="3">
        <v>120</v>
      </c>
      <c r="N3" s="16">
        <f t="shared" si="2"/>
        <v>4.0677966101694913</v>
      </c>
      <c r="O3" s="4">
        <f t="shared" si="3"/>
        <v>26.383783810023683</v>
      </c>
      <c r="P3" s="22"/>
      <c r="Q3" s="23"/>
      <c r="S3" s="21"/>
      <c r="T3" s="3" t="s">
        <v>9</v>
      </c>
      <c r="U3" s="12">
        <v>30.449597225128812</v>
      </c>
      <c r="V3" s="3">
        <v>120</v>
      </c>
      <c r="W3" s="16">
        <f t="shared" si="4"/>
        <v>3.9409388279516842</v>
      </c>
      <c r="X3" s="4">
        <f t="shared" si="5"/>
        <v>24.65412149714976</v>
      </c>
      <c r="Y3" s="22"/>
      <c r="Z3" s="23"/>
    </row>
    <row r="4" spans="1:26" x14ac:dyDescent="0.3">
      <c r="A4" s="21"/>
      <c r="B4" s="3" t="s">
        <v>10</v>
      </c>
      <c r="C4" s="12">
        <v>33.200000000000003</v>
      </c>
      <c r="D4" s="3">
        <v>120</v>
      </c>
      <c r="E4" s="16">
        <f t="shared" si="0"/>
        <v>3.6144578313253009</v>
      </c>
      <c r="F4" s="4">
        <f t="shared" si="1"/>
        <v>20.706341261860814</v>
      </c>
      <c r="G4" s="22"/>
      <c r="H4" s="23"/>
      <c r="J4" s="21"/>
      <c r="K4" s="3" t="s">
        <v>10</v>
      </c>
      <c r="L4" s="12">
        <v>28.1</v>
      </c>
      <c r="M4" s="3">
        <v>120</v>
      </c>
      <c r="N4" s="16">
        <f t="shared" si="2"/>
        <v>4.2704626334519569</v>
      </c>
      <c r="O4" s="4">
        <f t="shared" si="3"/>
        <v>29.402348768771091</v>
      </c>
      <c r="P4" s="22"/>
      <c r="Q4" s="23"/>
      <c r="S4" s="21"/>
      <c r="T4" s="3" t="s">
        <v>10</v>
      </c>
      <c r="U4" s="12">
        <v>29.117455566324125</v>
      </c>
      <c r="V4" s="3">
        <v>120</v>
      </c>
      <c r="W4" s="16">
        <f t="shared" si="4"/>
        <v>4.1212392245834257</v>
      </c>
      <c r="X4" s="4">
        <f t="shared" si="5"/>
        <v>27.148305969623216</v>
      </c>
      <c r="Y4" s="22"/>
      <c r="Z4" s="23"/>
    </row>
    <row r="5" spans="1:26" x14ac:dyDescent="0.3">
      <c r="A5" s="21" t="s">
        <v>11</v>
      </c>
      <c r="B5" s="3" t="s">
        <v>8</v>
      </c>
      <c r="C5" s="12">
        <v>30.407975488239209</v>
      </c>
      <c r="D5" s="3">
        <v>120</v>
      </c>
      <c r="E5" s="16">
        <f t="shared" si="0"/>
        <v>3.9463330943032364</v>
      </c>
      <c r="F5" s="4">
        <f t="shared" si="1"/>
        <v>24.725307706124088</v>
      </c>
      <c r="G5" s="22">
        <f t="shared" ref="G5" si="6">AVERAGE(F5:F7)</f>
        <v>25.173914685595701</v>
      </c>
      <c r="H5" s="23" t="str">
        <f t="shared" ref="H5" si="7">IF(G5&gt;=25,"GOOD","POOR")</f>
        <v>GOOD</v>
      </c>
      <c r="J5" s="21" t="s">
        <v>19</v>
      </c>
      <c r="K5" s="3" t="s">
        <v>8</v>
      </c>
      <c r="L5" s="12">
        <v>30.376618981076231</v>
      </c>
      <c r="M5" s="3">
        <v>120</v>
      </c>
      <c r="N5" s="16">
        <f t="shared" si="2"/>
        <v>3.9504067281074495</v>
      </c>
      <c r="O5" s="4">
        <f t="shared" si="3"/>
        <v>24.779202187047844</v>
      </c>
      <c r="P5" s="22">
        <f t="shared" ref="P5" si="8">AVERAGE(O5:O7)</f>
        <v>25.835366893406871</v>
      </c>
      <c r="Q5" s="23" t="str">
        <f t="shared" ref="Q5" si="9">IF(P5&gt;=25,"GOOD","POOR")</f>
        <v>GOOD</v>
      </c>
      <c r="S5" s="21" t="s">
        <v>23</v>
      </c>
      <c r="T5" s="3" t="s">
        <v>8</v>
      </c>
      <c r="U5" s="12">
        <v>29.142983616562859</v>
      </c>
      <c r="V5" s="3">
        <v>120</v>
      </c>
      <c r="W5" s="16">
        <f t="shared" si="4"/>
        <v>4.1176291892021748</v>
      </c>
      <c r="X5" s="4">
        <f t="shared" si="5"/>
        <v>27.095972085196774</v>
      </c>
      <c r="Y5" s="22">
        <f t="shared" ref="Y5" si="10">AVERAGE(X5:X7)</f>
        <v>26.450357690839297</v>
      </c>
      <c r="Z5" s="23" t="str">
        <f t="shared" ref="Z5" si="11">IF(Y5&gt;=25,"GOOD","POOR")</f>
        <v>GOOD</v>
      </c>
    </row>
    <row r="6" spans="1:26" x14ac:dyDescent="0.3">
      <c r="A6" s="21"/>
      <c r="B6" s="3" t="s">
        <v>9</v>
      </c>
      <c r="C6" s="12">
        <v>30.1</v>
      </c>
      <c r="D6" s="3">
        <v>120</v>
      </c>
      <c r="E6" s="16">
        <f t="shared" si="0"/>
        <v>3.9867109634551494</v>
      </c>
      <c r="F6" s="4">
        <f t="shared" si="1"/>
        <v>25.264728526271583</v>
      </c>
      <c r="G6" s="22"/>
      <c r="H6" s="23"/>
      <c r="J6" s="21"/>
      <c r="K6" s="3" t="s">
        <v>9</v>
      </c>
      <c r="L6" s="12">
        <v>29.823290130309925</v>
      </c>
      <c r="M6" s="3">
        <v>120</v>
      </c>
      <c r="N6" s="16">
        <f t="shared" si="2"/>
        <v>4.0237009221877207</v>
      </c>
      <c r="O6" s="4">
        <f t="shared" si="3"/>
        <v>25.76921149935723</v>
      </c>
      <c r="P6" s="22"/>
      <c r="Q6" s="23"/>
      <c r="S6" s="21"/>
      <c r="T6" s="3" t="s">
        <v>9</v>
      </c>
      <c r="U6" s="12">
        <v>29.34108761382851</v>
      </c>
      <c r="V6" s="3">
        <v>120</v>
      </c>
      <c r="W6" s="16">
        <f t="shared" si="4"/>
        <v>4.0898279429643152</v>
      </c>
      <c r="X6" s="4">
        <f t="shared" si="5"/>
        <v>26.696309080952858</v>
      </c>
      <c r="Y6" s="22"/>
      <c r="Z6" s="23"/>
    </row>
    <row r="7" spans="1:26" x14ac:dyDescent="0.3">
      <c r="A7" s="21"/>
      <c r="B7" s="3" t="s">
        <v>10</v>
      </c>
      <c r="C7" s="12">
        <v>29.952243960749851</v>
      </c>
      <c r="D7" s="3">
        <v>120</v>
      </c>
      <c r="E7" s="16">
        <f t="shared" si="0"/>
        <v>4.0063776242357978</v>
      </c>
      <c r="F7" s="4">
        <f t="shared" si="1"/>
        <v>25.531707824391439</v>
      </c>
      <c r="G7" s="22"/>
      <c r="H7" s="23"/>
      <c r="J7" s="21"/>
      <c r="K7" s="3" t="s">
        <v>10</v>
      </c>
      <c r="L7" s="12">
        <v>29.21089320516133</v>
      </c>
      <c r="M7" s="3">
        <v>120</v>
      </c>
      <c r="N7" s="16">
        <f t="shared" si="2"/>
        <v>4.10805651019247</v>
      </c>
      <c r="O7" s="4">
        <f t="shared" si="3"/>
        <v>26.95768699381555</v>
      </c>
      <c r="P7" s="22"/>
      <c r="Q7" s="23"/>
      <c r="S7" s="21"/>
      <c r="T7" s="3" t="s">
        <v>10</v>
      </c>
      <c r="U7" s="12">
        <v>29.937421551268422</v>
      </c>
      <c r="V7" s="3">
        <v>120</v>
      </c>
      <c r="W7" s="16">
        <f t="shared" si="4"/>
        <v>4.0083612342665402</v>
      </c>
      <c r="X7" s="4">
        <f t="shared" si="5"/>
        <v>25.55879190636826</v>
      </c>
      <c r="Y7" s="22"/>
      <c r="Z7" s="23"/>
    </row>
    <row r="8" spans="1:26" x14ac:dyDescent="0.3">
      <c r="A8" s="5"/>
      <c r="B8" s="6"/>
      <c r="C8" s="18"/>
      <c r="D8" s="6"/>
      <c r="E8" s="8"/>
      <c r="F8" s="9"/>
      <c r="G8" s="10"/>
      <c r="H8" s="11"/>
      <c r="J8" s="21" t="s">
        <v>20</v>
      </c>
      <c r="K8" s="3" t="s">
        <v>8</v>
      </c>
      <c r="L8" s="12">
        <v>32.799999999999997</v>
      </c>
      <c r="M8" s="3">
        <v>120</v>
      </c>
      <c r="N8" s="16">
        <f t="shared" si="2"/>
        <v>3.6585365853658538</v>
      </c>
      <c r="O8" s="4">
        <f t="shared" si="3"/>
        <v>21.199976825611262</v>
      </c>
      <c r="P8" s="22">
        <f t="shared" ref="P8" si="12">AVERAGE(O8:O10)</f>
        <v>25.434562202213272</v>
      </c>
      <c r="Q8" s="23" t="str">
        <f t="shared" ref="Q8" si="13">IF(P8&gt;=25,"GOOD","POOR")</f>
        <v>GOOD</v>
      </c>
      <c r="S8" s="21" t="s">
        <v>24</v>
      </c>
      <c r="T8" s="3" t="s">
        <v>8</v>
      </c>
      <c r="U8" s="12">
        <v>29.313981740187401</v>
      </c>
      <c r="V8" s="3">
        <v>120</v>
      </c>
      <c r="W8" s="16">
        <f t="shared" si="4"/>
        <v>4.0936097000936744</v>
      </c>
      <c r="X8" s="4">
        <f t="shared" si="5"/>
        <v>26.750326218930056</v>
      </c>
      <c r="Y8" s="22">
        <f t="shared" ref="Y8" si="14">AVERAGE(X8:X10)</f>
        <v>25.306882890376169</v>
      </c>
      <c r="Z8" s="23" t="str">
        <f t="shared" ref="Z8" si="15">IF(Y8&gt;=25,"GOOD","POOR")</f>
        <v>GOOD</v>
      </c>
    </row>
    <row r="9" spans="1:26" x14ac:dyDescent="0.3">
      <c r="A9" s="5"/>
      <c r="B9" s="6"/>
      <c r="C9" s="18"/>
      <c r="D9" s="6"/>
      <c r="E9" s="8"/>
      <c r="F9" s="9"/>
      <c r="G9" s="10"/>
      <c r="H9" s="11"/>
      <c r="J9" s="21"/>
      <c r="K9" s="3" t="s">
        <v>9</v>
      </c>
      <c r="L9" s="12">
        <v>30.72073383633877</v>
      </c>
      <c r="M9" s="3">
        <v>120</v>
      </c>
      <c r="N9" s="16">
        <f t="shared" si="2"/>
        <v>3.9061566901131468</v>
      </c>
      <c r="O9" s="4">
        <f t="shared" si="3"/>
        <v>24.200009713170772</v>
      </c>
      <c r="P9" s="22"/>
      <c r="Q9" s="23"/>
      <c r="S9" s="21"/>
      <c r="T9" s="3" t="s">
        <v>9</v>
      </c>
      <c r="U9" s="12">
        <v>30.229635170799902</v>
      </c>
      <c r="V9" s="3">
        <v>120</v>
      </c>
      <c r="W9" s="16">
        <f t="shared" si="4"/>
        <v>3.9696145627292627</v>
      </c>
      <c r="X9" s="4">
        <f t="shared" si="5"/>
        <v>25.034910416535016</v>
      </c>
      <c r="Y9" s="22"/>
      <c r="Z9" s="23"/>
    </row>
    <row r="10" spans="1:26" x14ac:dyDescent="0.3">
      <c r="A10" s="5"/>
      <c r="B10" s="6"/>
      <c r="C10" s="18"/>
      <c r="D10" s="6"/>
      <c r="E10" s="8"/>
      <c r="F10" s="9"/>
      <c r="G10" s="10"/>
      <c r="H10" s="11"/>
      <c r="J10" s="21"/>
      <c r="K10" s="3" t="s">
        <v>10</v>
      </c>
      <c r="L10" s="12">
        <v>27.5</v>
      </c>
      <c r="M10" s="3">
        <v>120</v>
      </c>
      <c r="N10" s="16">
        <f t="shared" si="2"/>
        <v>4.3636363636363633</v>
      </c>
      <c r="O10" s="4">
        <f t="shared" si="3"/>
        <v>30.903700067857791</v>
      </c>
      <c r="P10" s="22"/>
      <c r="Q10" s="23"/>
      <c r="S10" s="21"/>
      <c r="T10" s="3" t="s">
        <v>10</v>
      </c>
      <c r="U10" s="12">
        <v>30.76011351879033</v>
      </c>
      <c r="V10" s="3">
        <v>120</v>
      </c>
      <c r="W10" s="16">
        <f t="shared" si="4"/>
        <v>3.9011559540147989</v>
      </c>
      <c r="X10" s="4">
        <f t="shared" si="5"/>
        <v>24.135412035663435</v>
      </c>
      <c r="Y10" s="22"/>
      <c r="Z10" s="23"/>
    </row>
    <row r="11" spans="1:26" x14ac:dyDescent="0.3">
      <c r="A11" s="5"/>
      <c r="B11" s="6"/>
      <c r="C11" s="18"/>
      <c r="D11" s="6"/>
      <c r="E11" s="8"/>
      <c r="F11" s="9"/>
      <c r="G11" s="10"/>
      <c r="H11" s="11"/>
      <c r="J11" s="21" t="s">
        <v>21</v>
      </c>
      <c r="K11" s="3" t="s">
        <v>8</v>
      </c>
      <c r="L11" s="12">
        <v>29.287704773558747</v>
      </c>
      <c r="M11" s="3">
        <v>120</v>
      </c>
      <c r="N11" s="16">
        <f t="shared" si="2"/>
        <v>4.0972824920147817</v>
      </c>
      <c r="O11" s="4">
        <f t="shared" si="3"/>
        <v>26.802891557940395</v>
      </c>
      <c r="P11" s="22">
        <f t="shared" ref="P11" si="16">AVERAGE(O11:O13)</f>
        <v>26.380290938618117</v>
      </c>
      <c r="Q11" s="23" t="str">
        <f t="shared" ref="Q11" si="17">IF(P11&gt;=25,"GOOD","POOR")</f>
        <v>GOOD</v>
      </c>
      <c r="S11" s="21" t="s">
        <v>25</v>
      </c>
      <c r="T11" s="3" t="s">
        <v>8</v>
      </c>
      <c r="U11" s="12">
        <v>29.169655142114173</v>
      </c>
      <c r="V11" s="3">
        <v>120</v>
      </c>
      <c r="W11" s="16">
        <f t="shared" si="4"/>
        <v>4.1138641994689893</v>
      </c>
      <c r="X11" s="4">
        <f t="shared" si="5"/>
        <v>27.041499331398839</v>
      </c>
      <c r="Y11" s="22">
        <f t="shared" ref="Y11" si="18">AVERAGE(X11:X13)</f>
        <v>25.580990041560653</v>
      </c>
      <c r="Z11" s="23" t="str">
        <f t="shared" ref="Z11" si="19">IF(Y11&gt;=25,"GOOD","POOR")</f>
        <v>GOOD</v>
      </c>
    </row>
    <row r="12" spans="1:26" x14ac:dyDescent="0.3">
      <c r="A12" s="5"/>
      <c r="B12" s="6"/>
      <c r="C12" s="18"/>
      <c r="D12" s="6"/>
      <c r="E12" s="8"/>
      <c r="F12" s="9"/>
      <c r="G12" s="10"/>
      <c r="H12" s="11"/>
      <c r="J12" s="21"/>
      <c r="K12" s="3" t="s">
        <v>9</v>
      </c>
      <c r="L12" s="12">
        <v>30.142247941115755</v>
      </c>
      <c r="M12" s="3">
        <v>120</v>
      </c>
      <c r="N12" s="16">
        <f t="shared" si="2"/>
        <v>3.9811231144546828</v>
      </c>
      <c r="O12" s="4">
        <f t="shared" si="3"/>
        <v>25.18938280165953</v>
      </c>
      <c r="P12" s="22"/>
      <c r="Q12" s="23"/>
      <c r="S12" s="21"/>
      <c r="T12" s="3" t="s">
        <v>9</v>
      </c>
      <c r="U12" s="12">
        <v>30.605846211604081</v>
      </c>
      <c r="V12" s="3">
        <v>120</v>
      </c>
      <c r="W12" s="16">
        <f t="shared" si="4"/>
        <v>3.920819544420977</v>
      </c>
      <c r="X12" s="4">
        <f t="shared" si="5"/>
        <v>24.390417509958322</v>
      </c>
      <c r="Y12" s="22"/>
      <c r="Z12" s="23"/>
    </row>
    <row r="13" spans="1:26" x14ac:dyDescent="0.3">
      <c r="A13" s="5"/>
      <c r="B13" s="6"/>
      <c r="C13" s="18"/>
      <c r="D13" s="6"/>
      <c r="E13" s="8"/>
      <c r="F13" s="9"/>
      <c r="G13" s="10"/>
      <c r="H13" s="11"/>
      <c r="J13" s="21"/>
      <c r="K13" s="3" t="s">
        <v>10</v>
      </c>
      <c r="L13" s="12">
        <v>29.117313157562812</v>
      </c>
      <c r="M13" s="3">
        <v>120</v>
      </c>
      <c r="N13" s="16">
        <f t="shared" si="2"/>
        <v>4.1212593809958626</v>
      </c>
      <c r="O13" s="4">
        <f t="shared" si="3"/>
        <v>27.148598456254419</v>
      </c>
      <c r="P13" s="22"/>
      <c r="Q13" s="23"/>
      <c r="S13" s="21"/>
      <c r="T13" s="3" t="s">
        <v>10</v>
      </c>
      <c r="U13" s="12">
        <v>30.074145776243384</v>
      </c>
      <c r="V13" s="3">
        <v>120</v>
      </c>
      <c r="W13" s="16">
        <f t="shared" si="4"/>
        <v>3.9901382700216934</v>
      </c>
      <c r="X13" s="4">
        <f t="shared" si="5"/>
        <v>25.311053283324789</v>
      </c>
      <c r="Y13" s="22"/>
      <c r="Z13" s="23"/>
    </row>
    <row r="14" spans="1:26" x14ac:dyDescent="0.3">
      <c r="A14" s="5"/>
      <c r="B14" s="6"/>
      <c r="C14" s="18"/>
      <c r="D14" s="6"/>
      <c r="E14" s="8"/>
      <c r="F14" s="9"/>
      <c r="G14" s="10"/>
      <c r="H14" s="11"/>
      <c r="J14" s="5"/>
      <c r="K14" s="6"/>
      <c r="L14" s="17"/>
      <c r="M14" s="6"/>
      <c r="N14" s="8"/>
      <c r="O14" s="9"/>
      <c r="P14" s="10"/>
      <c r="Q14" s="11"/>
      <c r="S14" s="21" t="s">
        <v>26</v>
      </c>
      <c r="T14" s="3" t="s">
        <v>8</v>
      </c>
      <c r="U14" s="12">
        <v>30.848706972992854</v>
      </c>
      <c r="V14" s="3">
        <v>120</v>
      </c>
      <c r="W14" s="16">
        <f t="shared" si="4"/>
        <v>3.8899523440336257</v>
      </c>
      <c r="X14" s="4">
        <f t="shared" si="5"/>
        <v>23.991313121440804</v>
      </c>
      <c r="Y14" s="22">
        <f t="shared" ref="Y14" si="20">AVERAGE(X14:X16)</f>
        <v>25.066524104591739</v>
      </c>
      <c r="Z14" s="23" t="str">
        <f t="shared" ref="Z14" si="21">IF(Y14&gt;=25,"GOOD","POOR")</f>
        <v>GOOD</v>
      </c>
    </row>
    <row r="15" spans="1:26" x14ac:dyDescent="0.3">
      <c r="A15" s="5"/>
      <c r="B15" s="6"/>
      <c r="C15" s="18"/>
      <c r="D15" s="6"/>
      <c r="E15" s="8"/>
      <c r="F15" s="9"/>
      <c r="G15" s="10"/>
      <c r="H15" s="11"/>
      <c r="J15" s="5"/>
      <c r="K15" s="6"/>
      <c r="L15" s="17"/>
      <c r="M15" s="6"/>
      <c r="N15" s="8"/>
      <c r="O15" s="9"/>
      <c r="P15" s="10"/>
      <c r="Q15" s="11"/>
      <c r="S15" s="21"/>
      <c r="T15" s="3" t="s">
        <v>9</v>
      </c>
      <c r="U15" s="12">
        <v>29.516216326427468</v>
      </c>
      <c r="V15" s="3">
        <v>120</v>
      </c>
      <c r="W15" s="16">
        <f t="shared" si="4"/>
        <v>4.0655617465629392</v>
      </c>
      <c r="X15" s="4">
        <f t="shared" si="5"/>
        <v>26.352286283632182</v>
      </c>
      <c r="Y15" s="22"/>
      <c r="Z15" s="23"/>
    </row>
    <row r="16" spans="1:26" x14ac:dyDescent="0.3">
      <c r="A16" s="5"/>
      <c r="B16" s="6"/>
      <c r="C16" s="18"/>
      <c r="D16" s="6"/>
      <c r="E16" s="8"/>
      <c r="F16" s="9"/>
      <c r="G16" s="10"/>
      <c r="H16" s="11"/>
      <c r="J16" s="5"/>
      <c r="K16" s="6"/>
      <c r="L16" s="17"/>
      <c r="M16" s="6"/>
      <c r="N16" s="8"/>
      <c r="O16" s="9"/>
      <c r="P16" s="10"/>
      <c r="Q16" s="11"/>
      <c r="S16" s="21"/>
      <c r="T16" s="3" t="s">
        <v>10</v>
      </c>
      <c r="U16" s="12">
        <v>30.332181387828623</v>
      </c>
      <c r="V16" s="3">
        <v>120</v>
      </c>
      <c r="W16" s="16">
        <f t="shared" si="4"/>
        <v>3.9561941973666404</v>
      </c>
      <c r="X16" s="4">
        <f t="shared" si="5"/>
        <v>24.855972908702231</v>
      </c>
      <c r="Y16" s="22"/>
      <c r="Z16" s="23"/>
    </row>
    <row r="17" spans="1:26" x14ac:dyDescent="0.3">
      <c r="A17" s="5"/>
      <c r="B17" s="6"/>
      <c r="C17" s="18"/>
      <c r="D17" s="6"/>
      <c r="E17" s="8"/>
      <c r="F17" s="9"/>
      <c r="G17" s="10"/>
      <c r="H17" s="11"/>
      <c r="J17" s="5"/>
      <c r="K17" s="6"/>
      <c r="L17" s="17"/>
      <c r="M17" s="6"/>
      <c r="N17" s="8"/>
      <c r="O17" s="9"/>
      <c r="P17" s="10"/>
      <c r="Q17" s="11"/>
      <c r="S17" s="21" t="s">
        <v>27</v>
      </c>
      <c r="T17" s="3" t="s">
        <v>8</v>
      </c>
      <c r="U17" s="12">
        <v>29.091359615088074</v>
      </c>
      <c r="V17" s="3">
        <v>120</v>
      </c>
      <c r="W17" s="16">
        <f t="shared" si="4"/>
        <v>4.124936118068633</v>
      </c>
      <c r="X17" s="4">
        <f t="shared" si="5"/>
        <v>27.202003774683039</v>
      </c>
      <c r="Y17" s="22">
        <f>AVERAGE(X17:X19)</f>
        <v>26.036583305331167</v>
      </c>
      <c r="Z17" s="23" t="str">
        <f>IF(Y17&gt;=25,"GOOD","POOR")</f>
        <v>GOOD</v>
      </c>
    </row>
    <row r="18" spans="1:26" x14ac:dyDescent="0.3">
      <c r="A18" s="5"/>
      <c r="B18" s="6"/>
      <c r="C18" s="18"/>
      <c r="D18" s="6"/>
      <c r="E18" s="8"/>
      <c r="F18" s="9"/>
      <c r="G18" s="10"/>
      <c r="H18" s="11"/>
      <c r="J18" s="5"/>
      <c r="K18" s="6"/>
      <c r="L18" s="17"/>
      <c r="M18" s="6"/>
      <c r="N18" s="8"/>
      <c r="O18" s="9"/>
      <c r="P18" s="10"/>
      <c r="Q18" s="11"/>
      <c r="S18" s="21"/>
      <c r="T18" s="3" t="s">
        <v>9</v>
      </c>
      <c r="U18" s="12">
        <v>29.95202660854369</v>
      </c>
      <c r="V18" s="3">
        <v>120</v>
      </c>
      <c r="W18" s="16">
        <f t="shared" si="4"/>
        <v>4.0064066972273089</v>
      </c>
      <c r="X18" s="4">
        <f t="shared" si="5"/>
        <v>25.53210457780434</v>
      </c>
      <c r="Y18" s="22"/>
      <c r="Z18" s="23"/>
    </row>
    <row r="19" spans="1:26" x14ac:dyDescent="0.3">
      <c r="A19" s="5"/>
      <c r="B19" s="6"/>
      <c r="C19" s="18"/>
      <c r="D19" s="6"/>
      <c r="E19" s="8"/>
      <c r="F19" s="9"/>
      <c r="G19" s="10"/>
      <c r="H19" s="11"/>
      <c r="J19" s="5"/>
      <c r="K19" s="6"/>
      <c r="L19" s="17"/>
      <c r="M19" s="6"/>
      <c r="N19" s="8"/>
      <c r="O19" s="9"/>
      <c r="P19" s="10"/>
      <c r="Q19" s="11"/>
      <c r="S19" s="21"/>
      <c r="T19" s="3" t="s">
        <v>10</v>
      </c>
      <c r="U19" s="12">
        <v>30.038251188643834</v>
      </c>
      <c r="V19" s="3">
        <v>120</v>
      </c>
      <c r="W19" s="16">
        <f t="shared" si="4"/>
        <v>3.9949063361373987</v>
      </c>
      <c r="X19" s="4">
        <f t="shared" si="5"/>
        <v>25.375641563506118</v>
      </c>
      <c r="Y19" s="22"/>
      <c r="Z19" s="23"/>
    </row>
    <row r="20" spans="1:26" x14ac:dyDescent="0.3">
      <c r="A20" s="5"/>
      <c r="B20" s="6"/>
      <c r="C20" s="18"/>
      <c r="D20" s="6"/>
      <c r="E20" s="8"/>
      <c r="F20" s="9"/>
      <c r="G20" s="10"/>
      <c r="H20" s="11"/>
      <c r="J20" s="5"/>
      <c r="K20" s="6"/>
      <c r="L20" s="17"/>
      <c r="M20" s="6"/>
      <c r="N20" s="8"/>
      <c r="O20" s="9"/>
      <c r="P20" s="10"/>
      <c r="Q20" s="11"/>
      <c r="S20" s="21" t="s">
        <v>36</v>
      </c>
      <c r="T20" s="3" t="s">
        <v>8</v>
      </c>
      <c r="U20" s="12">
        <v>29.350159898525508</v>
      </c>
      <c r="V20" s="3">
        <v>120</v>
      </c>
      <c r="W20" s="16">
        <f t="shared" si="4"/>
        <v>4.0885637562072894</v>
      </c>
      <c r="X20" s="4">
        <f t="shared" si="5"/>
        <v>26.678276269240278</v>
      </c>
      <c r="Y20" s="22">
        <f>AVERAGE(X20:X22)</f>
        <v>25.747702766876262</v>
      </c>
      <c r="Z20" s="23" t="str">
        <f>IF(Y20&gt;=25,"GOOD","POOR")</f>
        <v>GOOD</v>
      </c>
    </row>
    <row r="21" spans="1:26" x14ac:dyDescent="0.3">
      <c r="A21" s="5"/>
      <c r="B21" s="6"/>
      <c r="C21" s="18"/>
      <c r="D21" s="6"/>
      <c r="E21" s="8"/>
      <c r="F21" s="9"/>
      <c r="G21" s="10"/>
      <c r="H21" s="11"/>
      <c r="J21" s="5"/>
      <c r="K21" s="6"/>
      <c r="L21" s="17"/>
      <c r="M21" s="6"/>
      <c r="N21" s="8"/>
      <c r="O21" s="9"/>
      <c r="P21" s="10"/>
      <c r="Q21" s="11"/>
      <c r="S21" s="21"/>
      <c r="T21" s="3" t="s">
        <v>9</v>
      </c>
      <c r="U21" s="12">
        <v>30.879657760211472</v>
      </c>
      <c r="V21" s="3">
        <v>120</v>
      </c>
      <c r="W21" s="16">
        <f t="shared" si="4"/>
        <v>3.8860534314153035</v>
      </c>
      <c r="X21" s="4">
        <f t="shared" si="5"/>
        <v>23.941368033634674</v>
      </c>
      <c r="Y21" s="22"/>
      <c r="Z21" s="23"/>
    </row>
    <row r="22" spans="1:26" x14ac:dyDescent="0.3">
      <c r="A22" s="5"/>
      <c r="B22" s="6"/>
      <c r="C22" s="18"/>
      <c r="D22" s="6"/>
      <c r="E22" s="8"/>
      <c r="F22" s="9"/>
      <c r="G22" s="10"/>
      <c r="H22" s="11"/>
      <c r="J22" s="5"/>
      <c r="K22" s="6"/>
      <c r="L22" s="17"/>
      <c r="M22" s="6"/>
      <c r="N22" s="8"/>
      <c r="O22" s="9"/>
      <c r="P22" s="10"/>
      <c r="Q22" s="11"/>
      <c r="S22" s="21"/>
      <c r="T22" s="3" t="s">
        <v>10</v>
      </c>
      <c r="U22" s="12">
        <v>29.377808136977613</v>
      </c>
      <c r="V22" s="3">
        <v>120</v>
      </c>
      <c r="W22" s="16">
        <f t="shared" si="4"/>
        <v>4.0847158998549302</v>
      </c>
      <c r="X22" s="4">
        <f t="shared" si="5"/>
        <v>26.623463997753841</v>
      </c>
      <c r="Y22" s="22"/>
      <c r="Z22" s="23"/>
    </row>
    <row r="23" spans="1:26" x14ac:dyDescent="0.3">
      <c r="A23" s="5"/>
      <c r="B23" s="6"/>
      <c r="C23" s="17"/>
      <c r="D23" s="6"/>
      <c r="E23" s="8"/>
      <c r="F23" s="9"/>
      <c r="G23" s="10"/>
      <c r="H23" s="11"/>
    </row>
    <row r="24" spans="1:26" x14ac:dyDescent="0.3">
      <c r="A24" s="5"/>
      <c r="B24" s="6"/>
      <c r="C24" s="17"/>
      <c r="D24" s="6"/>
      <c r="E24" s="8"/>
      <c r="F24" s="9"/>
      <c r="G24" s="10"/>
      <c r="H24" s="11"/>
    </row>
    <row r="25" spans="1:26" x14ac:dyDescent="0.3">
      <c r="A25" s="5"/>
      <c r="B25" s="6"/>
      <c r="C25" s="17"/>
      <c r="D25" s="6"/>
      <c r="E25" s="8"/>
      <c r="F25" s="9"/>
      <c r="G25" s="10"/>
      <c r="H25" s="11"/>
    </row>
    <row r="26" spans="1:26" x14ac:dyDescent="0.3">
      <c r="A26" s="5"/>
      <c r="B26" s="6"/>
      <c r="C26" s="17"/>
      <c r="D26" s="6"/>
      <c r="E26" s="8"/>
      <c r="F26" s="9"/>
      <c r="G26" s="10"/>
      <c r="H26" s="11"/>
    </row>
    <row r="27" spans="1:26" x14ac:dyDescent="0.3">
      <c r="A27" s="5"/>
      <c r="B27" s="6"/>
      <c r="C27" s="17"/>
      <c r="D27" s="6"/>
      <c r="E27" s="8"/>
      <c r="F27" s="9"/>
      <c r="G27" s="10"/>
      <c r="H27" s="11"/>
    </row>
    <row r="28" spans="1:26" x14ac:dyDescent="0.3">
      <c r="A28" s="5"/>
      <c r="B28" s="6"/>
      <c r="C28" s="17"/>
      <c r="D28" s="6"/>
      <c r="E28" s="8"/>
      <c r="F28" s="9"/>
      <c r="G28" s="10"/>
      <c r="H28" s="11"/>
    </row>
    <row r="29" spans="1:26" x14ac:dyDescent="0.3">
      <c r="A29" s="5"/>
      <c r="B29" s="6"/>
      <c r="C29" s="7"/>
      <c r="D29" s="6"/>
      <c r="E29" s="8"/>
      <c r="F29" s="9"/>
      <c r="G29" s="10"/>
      <c r="H29" s="11"/>
    </row>
    <row r="30" spans="1:26" x14ac:dyDescent="0.3">
      <c r="A30" s="5"/>
      <c r="B30" s="6"/>
      <c r="C30" s="7"/>
      <c r="D30" s="6"/>
      <c r="E30" s="8"/>
      <c r="F30" s="9"/>
      <c r="G30" s="10"/>
      <c r="H30" s="11"/>
    </row>
    <row r="31" spans="1:26" x14ac:dyDescent="0.3">
      <c r="A31" s="5"/>
      <c r="B31" s="6"/>
      <c r="C31" s="7"/>
      <c r="D31" s="6"/>
      <c r="E31" s="8"/>
      <c r="F31" s="9"/>
      <c r="G31" s="10"/>
      <c r="H31" s="11"/>
    </row>
  </sheetData>
  <mergeCells count="39">
    <mergeCell ref="S20:S22"/>
    <mergeCell ref="Y20:Y22"/>
    <mergeCell ref="Z20:Z22"/>
    <mergeCell ref="S14:S16"/>
    <mergeCell ref="Y14:Y16"/>
    <mergeCell ref="Z14:Z16"/>
    <mergeCell ref="S17:S19"/>
    <mergeCell ref="Y17:Y19"/>
    <mergeCell ref="Z17:Z19"/>
    <mergeCell ref="J11:J13"/>
    <mergeCell ref="P11:P13"/>
    <mergeCell ref="Q11:Q13"/>
    <mergeCell ref="S11:S13"/>
    <mergeCell ref="Y11:Y13"/>
    <mergeCell ref="Z11:Z13"/>
    <mergeCell ref="Y5:Y7"/>
    <mergeCell ref="Z5:Z7"/>
    <mergeCell ref="J8:J10"/>
    <mergeCell ref="P8:P10"/>
    <mergeCell ref="Q8:Q10"/>
    <mergeCell ref="S8:S10"/>
    <mergeCell ref="Y8:Y10"/>
    <mergeCell ref="Z8:Z10"/>
    <mergeCell ref="S2:S4"/>
    <mergeCell ref="Y2:Y4"/>
    <mergeCell ref="Z2:Z4"/>
    <mergeCell ref="A5:A7"/>
    <mergeCell ref="G5:G7"/>
    <mergeCell ref="H5:H7"/>
    <mergeCell ref="J5:J7"/>
    <mergeCell ref="P5:P7"/>
    <mergeCell ref="Q5:Q7"/>
    <mergeCell ref="S5:S7"/>
    <mergeCell ref="A2:A4"/>
    <mergeCell ref="G2:G4"/>
    <mergeCell ref="H2:H4"/>
    <mergeCell ref="J2:J4"/>
    <mergeCell ref="P2:P4"/>
    <mergeCell ref="Q2:Q4"/>
  </mergeCells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B813-B784-4FFE-963D-8E876E89E502}">
  <dimension ref="A1:Z31"/>
  <sheetViews>
    <sheetView topLeftCell="H1" workbookViewId="0">
      <selection activeCell="Y1" sqref="Y1"/>
    </sheetView>
  </sheetViews>
  <sheetFormatPr defaultRowHeight="14.4" x14ac:dyDescent="0.3"/>
  <sheetData>
    <row r="1" spans="1:26" ht="86.4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6</v>
      </c>
      <c r="J1" s="1" t="s">
        <v>0</v>
      </c>
      <c r="K1" s="1" t="s">
        <v>1</v>
      </c>
      <c r="L1" s="2" t="s">
        <v>2</v>
      </c>
      <c r="M1" s="1" t="s">
        <v>3</v>
      </c>
      <c r="N1" s="1" t="s">
        <v>4</v>
      </c>
      <c r="O1" s="1" t="s">
        <v>5</v>
      </c>
      <c r="P1" s="1" t="s">
        <v>40</v>
      </c>
      <c r="Q1" s="1" t="s">
        <v>6</v>
      </c>
      <c r="S1" s="1" t="s">
        <v>0</v>
      </c>
      <c r="T1" s="1" t="s">
        <v>1</v>
      </c>
      <c r="U1" s="2" t="s">
        <v>2</v>
      </c>
      <c r="V1" s="1" t="s">
        <v>3</v>
      </c>
      <c r="W1" s="1" t="s">
        <v>4</v>
      </c>
      <c r="X1" s="1" t="s">
        <v>5</v>
      </c>
      <c r="Y1" s="1" t="s">
        <v>40</v>
      </c>
      <c r="Z1" s="1" t="s">
        <v>6</v>
      </c>
    </row>
    <row r="2" spans="1:26" x14ac:dyDescent="0.3">
      <c r="A2" s="21" t="s">
        <v>7</v>
      </c>
      <c r="B2" s="3" t="s">
        <v>8</v>
      </c>
      <c r="C2" s="12">
        <v>25.9</v>
      </c>
      <c r="D2" s="3">
        <v>120</v>
      </c>
      <c r="E2" s="16">
        <f t="shared" ref="E2:E7" si="0">D2/C2</f>
        <v>4.6332046332046337</v>
      </c>
      <c r="F2" s="4">
        <f t="shared" ref="F2:F7" si="1">2.9997*EXP(0.5345*E2)</f>
        <v>35.693198774417937</v>
      </c>
      <c r="G2" s="22">
        <f>AVERAGE(F2:F4)</f>
        <v>25.95179389508553</v>
      </c>
      <c r="H2" s="23" t="str">
        <f>IF(G2&gt;=25,"GOOD","POOR")</f>
        <v>GOOD</v>
      </c>
      <c r="J2" s="21" t="s">
        <v>18</v>
      </c>
      <c r="K2" s="3" t="s">
        <v>8</v>
      </c>
      <c r="L2" s="12">
        <v>32.700000000000003</v>
      </c>
      <c r="M2" s="3">
        <v>120</v>
      </c>
      <c r="N2" s="16">
        <f t="shared" ref="N2:N13" si="2">M2/L2</f>
        <v>3.6697247706422016</v>
      </c>
      <c r="O2" s="4">
        <f t="shared" ref="O2:O13" si="3">2.9997*EXP(0.5345*N2)</f>
        <v>21.327134317028193</v>
      </c>
      <c r="P2" s="22">
        <f>AVERAGE(O2:O4)</f>
        <v>25.704422298607653</v>
      </c>
      <c r="Q2" s="23" t="str">
        <f>IF(P2&gt;=25,"GOOD","POOR")</f>
        <v>GOOD</v>
      </c>
      <c r="S2" s="21" t="s">
        <v>22</v>
      </c>
      <c r="T2" s="3" t="s">
        <v>8</v>
      </c>
      <c r="U2" s="12">
        <v>29.451871399824281</v>
      </c>
      <c r="V2" s="3">
        <v>120</v>
      </c>
      <c r="W2" s="16">
        <f t="shared" ref="W2:W22" si="4">V2/U2</f>
        <v>4.0744439757643365</v>
      </c>
      <c r="X2" s="4">
        <f t="shared" ref="X2:X22" si="5">2.9997*EXP(0.5345*W2)</f>
        <v>26.477692570978633</v>
      </c>
      <c r="Y2" s="22">
        <f>AVERAGE(X2:X4)</f>
        <v>26.0933733459172</v>
      </c>
      <c r="Z2" s="23" t="str">
        <f>IF(Y2&gt;=25,"GOOD","POOR")</f>
        <v>GOOD</v>
      </c>
    </row>
    <row r="3" spans="1:26" x14ac:dyDescent="0.3">
      <c r="A3" s="21"/>
      <c r="B3" s="3" t="s">
        <v>9</v>
      </c>
      <c r="C3" s="12">
        <v>32.6</v>
      </c>
      <c r="D3" s="3">
        <v>120</v>
      </c>
      <c r="E3" s="16">
        <f t="shared" si="0"/>
        <v>3.6809815950920242</v>
      </c>
      <c r="F3" s="4">
        <f t="shared" si="1"/>
        <v>21.455841648977835</v>
      </c>
      <c r="G3" s="22"/>
      <c r="H3" s="23"/>
      <c r="J3" s="21"/>
      <c r="K3" s="3" t="s">
        <v>9</v>
      </c>
      <c r="L3" s="12">
        <v>29.5</v>
      </c>
      <c r="M3" s="3">
        <v>120</v>
      </c>
      <c r="N3" s="16">
        <f t="shared" si="2"/>
        <v>4.0677966101694913</v>
      </c>
      <c r="O3" s="4">
        <f t="shared" si="3"/>
        <v>26.383783810023683</v>
      </c>
      <c r="P3" s="22"/>
      <c r="Q3" s="23"/>
      <c r="S3" s="21"/>
      <c r="T3" s="3" t="s">
        <v>9</v>
      </c>
      <c r="U3" s="12">
        <v>30.449597225128812</v>
      </c>
      <c r="V3" s="3">
        <v>120</v>
      </c>
      <c r="W3" s="16">
        <f t="shared" si="4"/>
        <v>3.9409388279516842</v>
      </c>
      <c r="X3" s="4">
        <f t="shared" si="5"/>
        <v>24.65412149714976</v>
      </c>
      <c r="Y3" s="22"/>
      <c r="Z3" s="23"/>
    </row>
    <row r="4" spans="1:26" x14ac:dyDescent="0.3">
      <c r="A4" s="21"/>
      <c r="B4" s="3" t="s">
        <v>10</v>
      </c>
      <c r="C4" s="12">
        <v>33.200000000000003</v>
      </c>
      <c r="D4" s="3">
        <v>120</v>
      </c>
      <c r="E4" s="16">
        <f t="shared" si="0"/>
        <v>3.6144578313253009</v>
      </c>
      <c r="F4" s="4">
        <f t="shared" si="1"/>
        <v>20.706341261860814</v>
      </c>
      <c r="G4" s="22"/>
      <c r="H4" s="23"/>
      <c r="J4" s="21"/>
      <c r="K4" s="3" t="s">
        <v>10</v>
      </c>
      <c r="L4" s="12">
        <v>28.1</v>
      </c>
      <c r="M4" s="3">
        <v>120</v>
      </c>
      <c r="N4" s="16">
        <f t="shared" si="2"/>
        <v>4.2704626334519569</v>
      </c>
      <c r="O4" s="4">
        <f t="shared" si="3"/>
        <v>29.402348768771091</v>
      </c>
      <c r="P4" s="22"/>
      <c r="Q4" s="23"/>
      <c r="S4" s="21"/>
      <c r="T4" s="3" t="s">
        <v>10</v>
      </c>
      <c r="U4" s="12">
        <v>29.117455566324125</v>
      </c>
      <c r="V4" s="3">
        <v>120</v>
      </c>
      <c r="W4" s="16">
        <f t="shared" si="4"/>
        <v>4.1212392245834257</v>
      </c>
      <c r="X4" s="4">
        <f t="shared" si="5"/>
        <v>27.148305969623216</v>
      </c>
      <c r="Y4" s="22"/>
      <c r="Z4" s="23"/>
    </row>
    <row r="5" spans="1:26" x14ac:dyDescent="0.3">
      <c r="A5" s="21" t="s">
        <v>11</v>
      </c>
      <c r="B5" s="3" t="s">
        <v>8</v>
      </c>
      <c r="C5" s="12">
        <v>30.407975488239209</v>
      </c>
      <c r="D5" s="3">
        <v>120</v>
      </c>
      <c r="E5" s="16">
        <f t="shared" si="0"/>
        <v>3.9463330943032364</v>
      </c>
      <c r="F5" s="4">
        <f t="shared" si="1"/>
        <v>24.725307706124088</v>
      </c>
      <c r="G5" s="22">
        <f t="shared" ref="G5" si="6">AVERAGE(F5:F7)</f>
        <v>25.173914685595701</v>
      </c>
      <c r="H5" s="23" t="str">
        <f t="shared" ref="H5" si="7">IF(G5&gt;=25,"GOOD","POOR")</f>
        <v>GOOD</v>
      </c>
      <c r="J5" s="21" t="s">
        <v>19</v>
      </c>
      <c r="K5" s="3" t="s">
        <v>8</v>
      </c>
      <c r="L5" s="12">
        <v>30.376618981076231</v>
      </c>
      <c r="M5" s="3">
        <v>120</v>
      </c>
      <c r="N5" s="16">
        <f t="shared" si="2"/>
        <v>3.9504067281074495</v>
      </c>
      <c r="O5" s="4">
        <f t="shared" si="3"/>
        <v>24.779202187047844</v>
      </c>
      <c r="P5" s="22">
        <f t="shared" ref="P5" si="8">AVERAGE(O5:O7)</f>
        <v>25.835366893406871</v>
      </c>
      <c r="Q5" s="23" t="str">
        <f t="shared" ref="Q5" si="9">IF(P5&gt;=25,"GOOD","POOR")</f>
        <v>GOOD</v>
      </c>
      <c r="S5" s="21" t="s">
        <v>23</v>
      </c>
      <c r="T5" s="3" t="s">
        <v>8</v>
      </c>
      <c r="U5" s="12">
        <v>29.142983616562859</v>
      </c>
      <c r="V5" s="3">
        <v>120</v>
      </c>
      <c r="W5" s="16">
        <f t="shared" si="4"/>
        <v>4.1176291892021748</v>
      </c>
      <c r="X5" s="4">
        <f t="shared" si="5"/>
        <v>27.095972085196774</v>
      </c>
      <c r="Y5" s="22">
        <f t="shared" ref="Y5" si="10">AVERAGE(X5:X7)</f>
        <v>26.450357690839297</v>
      </c>
      <c r="Z5" s="23" t="str">
        <f t="shared" ref="Z5" si="11">IF(Y5&gt;=25,"GOOD","POOR")</f>
        <v>GOOD</v>
      </c>
    </row>
    <row r="6" spans="1:26" x14ac:dyDescent="0.3">
      <c r="A6" s="21"/>
      <c r="B6" s="3" t="s">
        <v>9</v>
      </c>
      <c r="C6" s="12">
        <v>30.1</v>
      </c>
      <c r="D6" s="3">
        <v>120</v>
      </c>
      <c r="E6" s="16">
        <f t="shared" si="0"/>
        <v>3.9867109634551494</v>
      </c>
      <c r="F6" s="4">
        <f t="shared" si="1"/>
        <v>25.264728526271583</v>
      </c>
      <c r="G6" s="22"/>
      <c r="H6" s="23"/>
      <c r="J6" s="21"/>
      <c r="K6" s="3" t="s">
        <v>9</v>
      </c>
      <c r="L6" s="12">
        <v>29.823290130309925</v>
      </c>
      <c r="M6" s="3">
        <v>120</v>
      </c>
      <c r="N6" s="16">
        <f t="shared" si="2"/>
        <v>4.0237009221877207</v>
      </c>
      <c r="O6" s="4">
        <f t="shared" si="3"/>
        <v>25.76921149935723</v>
      </c>
      <c r="P6" s="22"/>
      <c r="Q6" s="23"/>
      <c r="S6" s="21"/>
      <c r="T6" s="3" t="s">
        <v>9</v>
      </c>
      <c r="U6" s="12">
        <v>29.34108761382851</v>
      </c>
      <c r="V6" s="3">
        <v>120</v>
      </c>
      <c r="W6" s="16">
        <f t="shared" si="4"/>
        <v>4.0898279429643152</v>
      </c>
      <c r="X6" s="4">
        <f t="shared" si="5"/>
        <v>26.696309080952858</v>
      </c>
      <c r="Y6" s="22"/>
      <c r="Z6" s="23"/>
    </row>
    <row r="7" spans="1:26" x14ac:dyDescent="0.3">
      <c r="A7" s="21"/>
      <c r="B7" s="3" t="s">
        <v>10</v>
      </c>
      <c r="C7" s="12">
        <v>29.952243960749851</v>
      </c>
      <c r="D7" s="3">
        <v>120</v>
      </c>
      <c r="E7" s="16">
        <f t="shared" si="0"/>
        <v>4.0063776242357978</v>
      </c>
      <c r="F7" s="4">
        <f t="shared" si="1"/>
        <v>25.531707824391439</v>
      </c>
      <c r="G7" s="22"/>
      <c r="H7" s="23"/>
      <c r="J7" s="21"/>
      <c r="K7" s="3" t="s">
        <v>10</v>
      </c>
      <c r="L7" s="12">
        <v>29.21089320516133</v>
      </c>
      <c r="M7" s="3">
        <v>120</v>
      </c>
      <c r="N7" s="16">
        <f t="shared" si="2"/>
        <v>4.10805651019247</v>
      </c>
      <c r="O7" s="4">
        <f t="shared" si="3"/>
        <v>26.95768699381555</v>
      </c>
      <c r="P7" s="22"/>
      <c r="Q7" s="23"/>
      <c r="S7" s="21"/>
      <c r="T7" s="3" t="s">
        <v>10</v>
      </c>
      <c r="U7" s="12">
        <v>29.937421551268422</v>
      </c>
      <c r="V7" s="3">
        <v>120</v>
      </c>
      <c r="W7" s="16">
        <f t="shared" si="4"/>
        <v>4.0083612342665402</v>
      </c>
      <c r="X7" s="4">
        <f t="shared" si="5"/>
        <v>25.55879190636826</v>
      </c>
      <c r="Y7" s="22"/>
      <c r="Z7" s="23"/>
    </row>
    <row r="8" spans="1:26" x14ac:dyDescent="0.3">
      <c r="A8" s="5"/>
      <c r="B8" s="6"/>
      <c r="C8" s="18"/>
      <c r="D8" s="6"/>
      <c r="E8" s="8"/>
      <c r="F8" s="9"/>
      <c r="G8" s="10"/>
      <c r="H8" s="11"/>
      <c r="J8" s="21" t="s">
        <v>20</v>
      </c>
      <c r="K8" s="3" t="s">
        <v>8</v>
      </c>
      <c r="L8" s="12">
        <v>32.799999999999997</v>
      </c>
      <c r="M8" s="3">
        <v>120</v>
      </c>
      <c r="N8" s="16">
        <f t="shared" si="2"/>
        <v>3.6585365853658538</v>
      </c>
      <c r="O8" s="4">
        <f t="shared" si="3"/>
        <v>21.199976825611262</v>
      </c>
      <c r="P8" s="22">
        <f t="shared" ref="P8" si="12">AVERAGE(O8:O10)</f>
        <v>25.434562202213272</v>
      </c>
      <c r="Q8" s="23" t="str">
        <f t="shared" ref="Q8" si="13">IF(P8&gt;=25,"GOOD","POOR")</f>
        <v>GOOD</v>
      </c>
      <c r="S8" s="21" t="s">
        <v>24</v>
      </c>
      <c r="T8" s="3" t="s">
        <v>8</v>
      </c>
      <c r="U8" s="12">
        <v>29.313981740187401</v>
      </c>
      <c r="V8" s="3">
        <v>120</v>
      </c>
      <c r="W8" s="16">
        <f t="shared" si="4"/>
        <v>4.0936097000936744</v>
      </c>
      <c r="X8" s="4">
        <f t="shared" si="5"/>
        <v>26.750326218930056</v>
      </c>
      <c r="Y8" s="22">
        <f t="shared" ref="Y8" si="14">AVERAGE(X8:X10)</f>
        <v>25.306882890376169</v>
      </c>
      <c r="Z8" s="23" t="str">
        <f t="shared" ref="Z8" si="15">IF(Y8&gt;=25,"GOOD","POOR")</f>
        <v>GOOD</v>
      </c>
    </row>
    <row r="9" spans="1:26" x14ac:dyDescent="0.3">
      <c r="A9" s="5"/>
      <c r="B9" s="6"/>
      <c r="C9" s="18"/>
      <c r="D9" s="6"/>
      <c r="E9" s="8"/>
      <c r="F9" s="9"/>
      <c r="G9" s="10"/>
      <c r="H9" s="11"/>
      <c r="J9" s="21"/>
      <c r="K9" s="3" t="s">
        <v>9</v>
      </c>
      <c r="L9" s="12">
        <v>30.72073383633877</v>
      </c>
      <c r="M9" s="3">
        <v>120</v>
      </c>
      <c r="N9" s="16">
        <f t="shared" si="2"/>
        <v>3.9061566901131468</v>
      </c>
      <c r="O9" s="4">
        <f t="shared" si="3"/>
        <v>24.200009713170772</v>
      </c>
      <c r="P9" s="22"/>
      <c r="Q9" s="23"/>
      <c r="S9" s="21"/>
      <c r="T9" s="3" t="s">
        <v>9</v>
      </c>
      <c r="U9" s="12">
        <v>30.229635170799902</v>
      </c>
      <c r="V9" s="3">
        <v>120</v>
      </c>
      <c r="W9" s="16">
        <f t="shared" si="4"/>
        <v>3.9696145627292627</v>
      </c>
      <c r="X9" s="4">
        <f t="shared" si="5"/>
        <v>25.034910416535016</v>
      </c>
      <c r="Y9" s="22"/>
      <c r="Z9" s="23"/>
    </row>
    <row r="10" spans="1:26" x14ac:dyDescent="0.3">
      <c r="A10" s="5"/>
      <c r="B10" s="6"/>
      <c r="C10" s="18"/>
      <c r="D10" s="6"/>
      <c r="E10" s="8"/>
      <c r="F10" s="9"/>
      <c r="G10" s="10"/>
      <c r="H10" s="11"/>
      <c r="J10" s="21"/>
      <c r="K10" s="3" t="s">
        <v>10</v>
      </c>
      <c r="L10" s="12">
        <v>27.5</v>
      </c>
      <c r="M10" s="3">
        <v>120</v>
      </c>
      <c r="N10" s="16">
        <f t="shared" si="2"/>
        <v>4.3636363636363633</v>
      </c>
      <c r="O10" s="4">
        <f t="shared" si="3"/>
        <v>30.903700067857791</v>
      </c>
      <c r="P10" s="22"/>
      <c r="Q10" s="23"/>
      <c r="S10" s="21"/>
      <c r="T10" s="3" t="s">
        <v>10</v>
      </c>
      <c r="U10" s="12">
        <v>30.76011351879033</v>
      </c>
      <c r="V10" s="3">
        <v>120</v>
      </c>
      <c r="W10" s="16">
        <f t="shared" si="4"/>
        <v>3.9011559540147989</v>
      </c>
      <c r="X10" s="4">
        <f t="shared" si="5"/>
        <v>24.135412035663435</v>
      </c>
      <c r="Y10" s="22"/>
      <c r="Z10" s="23"/>
    </row>
    <row r="11" spans="1:26" x14ac:dyDescent="0.3">
      <c r="A11" s="5"/>
      <c r="B11" s="6"/>
      <c r="C11" s="18"/>
      <c r="D11" s="6"/>
      <c r="E11" s="8"/>
      <c r="F11" s="9"/>
      <c r="G11" s="10"/>
      <c r="H11" s="11"/>
      <c r="J11" s="21" t="s">
        <v>21</v>
      </c>
      <c r="K11" s="3" t="s">
        <v>8</v>
      </c>
      <c r="L11" s="12">
        <v>29.287704773558747</v>
      </c>
      <c r="M11" s="3">
        <v>120</v>
      </c>
      <c r="N11" s="16">
        <f t="shared" si="2"/>
        <v>4.0972824920147817</v>
      </c>
      <c r="O11" s="4">
        <f t="shared" si="3"/>
        <v>26.802891557940395</v>
      </c>
      <c r="P11" s="22">
        <f t="shared" ref="P11" si="16">AVERAGE(O11:O13)</f>
        <v>26.380290938618117</v>
      </c>
      <c r="Q11" s="23" t="str">
        <f t="shared" ref="Q11" si="17">IF(P11&gt;=25,"GOOD","POOR")</f>
        <v>GOOD</v>
      </c>
      <c r="S11" s="21" t="s">
        <v>25</v>
      </c>
      <c r="T11" s="3" t="s">
        <v>8</v>
      </c>
      <c r="U11" s="12">
        <v>29.169655142114173</v>
      </c>
      <c r="V11" s="3">
        <v>120</v>
      </c>
      <c r="W11" s="16">
        <f t="shared" si="4"/>
        <v>4.1138641994689893</v>
      </c>
      <c r="X11" s="4">
        <f t="shared" si="5"/>
        <v>27.041499331398839</v>
      </c>
      <c r="Y11" s="22">
        <f t="shared" ref="Y11" si="18">AVERAGE(X11:X13)</f>
        <v>25.580990041560653</v>
      </c>
      <c r="Z11" s="23" t="str">
        <f t="shared" ref="Z11" si="19">IF(Y11&gt;=25,"GOOD","POOR")</f>
        <v>GOOD</v>
      </c>
    </row>
    <row r="12" spans="1:26" x14ac:dyDescent="0.3">
      <c r="A12" s="5"/>
      <c r="B12" s="6"/>
      <c r="C12" s="18"/>
      <c r="D12" s="6"/>
      <c r="E12" s="8"/>
      <c r="F12" s="9"/>
      <c r="G12" s="10"/>
      <c r="H12" s="11"/>
      <c r="J12" s="21"/>
      <c r="K12" s="3" t="s">
        <v>9</v>
      </c>
      <c r="L12" s="12">
        <v>30.142247941115755</v>
      </c>
      <c r="M12" s="3">
        <v>120</v>
      </c>
      <c r="N12" s="16">
        <f t="shared" si="2"/>
        <v>3.9811231144546828</v>
      </c>
      <c r="O12" s="4">
        <f t="shared" si="3"/>
        <v>25.18938280165953</v>
      </c>
      <c r="P12" s="22"/>
      <c r="Q12" s="23"/>
      <c r="S12" s="21"/>
      <c r="T12" s="3" t="s">
        <v>9</v>
      </c>
      <c r="U12" s="12">
        <v>30.605846211604081</v>
      </c>
      <c r="V12" s="3">
        <v>120</v>
      </c>
      <c r="W12" s="16">
        <f t="shared" si="4"/>
        <v>3.920819544420977</v>
      </c>
      <c r="X12" s="4">
        <f t="shared" si="5"/>
        <v>24.390417509958322</v>
      </c>
      <c r="Y12" s="22"/>
      <c r="Z12" s="23"/>
    </row>
    <row r="13" spans="1:26" x14ac:dyDescent="0.3">
      <c r="A13" s="5"/>
      <c r="B13" s="6"/>
      <c r="C13" s="18"/>
      <c r="D13" s="6"/>
      <c r="E13" s="8"/>
      <c r="F13" s="9"/>
      <c r="G13" s="10"/>
      <c r="H13" s="11"/>
      <c r="J13" s="21"/>
      <c r="K13" s="3" t="s">
        <v>10</v>
      </c>
      <c r="L13" s="12">
        <v>29.117313157562812</v>
      </c>
      <c r="M13" s="3">
        <v>120</v>
      </c>
      <c r="N13" s="16">
        <f t="shared" si="2"/>
        <v>4.1212593809958626</v>
      </c>
      <c r="O13" s="4">
        <f t="shared" si="3"/>
        <v>27.148598456254419</v>
      </c>
      <c r="P13" s="22"/>
      <c r="Q13" s="23"/>
      <c r="S13" s="21"/>
      <c r="T13" s="3" t="s">
        <v>10</v>
      </c>
      <c r="U13" s="12">
        <v>30.074145776243384</v>
      </c>
      <c r="V13" s="3">
        <v>120</v>
      </c>
      <c r="W13" s="16">
        <f t="shared" si="4"/>
        <v>3.9901382700216934</v>
      </c>
      <c r="X13" s="4">
        <f t="shared" si="5"/>
        <v>25.311053283324789</v>
      </c>
      <c r="Y13" s="22"/>
      <c r="Z13" s="23"/>
    </row>
    <row r="14" spans="1:26" x14ac:dyDescent="0.3">
      <c r="A14" s="5"/>
      <c r="B14" s="6"/>
      <c r="C14" s="18"/>
      <c r="D14" s="6"/>
      <c r="E14" s="8"/>
      <c r="F14" s="9"/>
      <c r="G14" s="10"/>
      <c r="H14" s="11"/>
      <c r="J14" s="5"/>
      <c r="K14" s="6"/>
      <c r="L14" s="17"/>
      <c r="M14" s="6"/>
      <c r="N14" s="8"/>
      <c r="O14" s="9"/>
      <c r="P14" s="10"/>
      <c r="Q14" s="11"/>
      <c r="S14" s="21" t="s">
        <v>26</v>
      </c>
      <c r="T14" s="3" t="s">
        <v>8</v>
      </c>
      <c r="U14" s="12">
        <v>30.848706972992854</v>
      </c>
      <c r="V14" s="3">
        <v>120</v>
      </c>
      <c r="W14" s="16">
        <f t="shared" si="4"/>
        <v>3.8899523440336257</v>
      </c>
      <c r="X14" s="4">
        <f t="shared" si="5"/>
        <v>23.991313121440804</v>
      </c>
      <c r="Y14" s="22">
        <f t="shared" ref="Y14" si="20">AVERAGE(X14:X16)</f>
        <v>25.066524104591739</v>
      </c>
      <c r="Z14" s="23" t="str">
        <f t="shared" ref="Z14" si="21">IF(Y14&gt;=25,"GOOD","POOR")</f>
        <v>GOOD</v>
      </c>
    </row>
    <row r="15" spans="1:26" x14ac:dyDescent="0.3">
      <c r="A15" s="5"/>
      <c r="B15" s="6"/>
      <c r="C15" s="18"/>
      <c r="D15" s="6"/>
      <c r="E15" s="8"/>
      <c r="F15" s="9"/>
      <c r="G15" s="10"/>
      <c r="H15" s="11"/>
      <c r="J15" s="5"/>
      <c r="K15" s="6"/>
      <c r="L15" s="17"/>
      <c r="M15" s="6"/>
      <c r="N15" s="8"/>
      <c r="O15" s="9"/>
      <c r="P15" s="10"/>
      <c r="Q15" s="11"/>
      <c r="S15" s="21"/>
      <c r="T15" s="3" t="s">
        <v>9</v>
      </c>
      <c r="U15" s="12">
        <v>29.516216326427468</v>
      </c>
      <c r="V15" s="3">
        <v>120</v>
      </c>
      <c r="W15" s="16">
        <f t="shared" si="4"/>
        <v>4.0655617465629392</v>
      </c>
      <c r="X15" s="4">
        <f t="shared" si="5"/>
        <v>26.352286283632182</v>
      </c>
      <c r="Y15" s="22"/>
      <c r="Z15" s="23"/>
    </row>
    <row r="16" spans="1:26" x14ac:dyDescent="0.3">
      <c r="A16" s="5"/>
      <c r="B16" s="6"/>
      <c r="C16" s="18"/>
      <c r="D16" s="6"/>
      <c r="E16" s="8"/>
      <c r="F16" s="9"/>
      <c r="G16" s="10"/>
      <c r="H16" s="11"/>
      <c r="J16" s="5"/>
      <c r="K16" s="6"/>
      <c r="L16" s="17"/>
      <c r="M16" s="6"/>
      <c r="N16" s="8"/>
      <c r="O16" s="9"/>
      <c r="P16" s="10"/>
      <c r="Q16" s="11"/>
      <c r="S16" s="21"/>
      <c r="T16" s="3" t="s">
        <v>10</v>
      </c>
      <c r="U16" s="12">
        <v>30.332181387828623</v>
      </c>
      <c r="V16" s="3">
        <v>120</v>
      </c>
      <c r="W16" s="16">
        <f t="shared" si="4"/>
        <v>3.9561941973666404</v>
      </c>
      <c r="X16" s="4">
        <f t="shared" si="5"/>
        <v>24.855972908702231</v>
      </c>
      <c r="Y16" s="22"/>
      <c r="Z16" s="23"/>
    </row>
    <row r="17" spans="1:26" x14ac:dyDescent="0.3">
      <c r="A17" s="5"/>
      <c r="B17" s="6"/>
      <c r="C17" s="18"/>
      <c r="D17" s="6"/>
      <c r="E17" s="8"/>
      <c r="F17" s="9"/>
      <c r="G17" s="10"/>
      <c r="H17" s="11"/>
      <c r="J17" s="5"/>
      <c r="K17" s="6"/>
      <c r="L17" s="17"/>
      <c r="M17" s="6"/>
      <c r="N17" s="8"/>
      <c r="O17" s="9"/>
      <c r="P17" s="10"/>
      <c r="Q17" s="11"/>
      <c r="S17" s="21" t="s">
        <v>27</v>
      </c>
      <c r="T17" s="3" t="s">
        <v>8</v>
      </c>
      <c r="U17" s="12">
        <v>29.091359615088074</v>
      </c>
      <c r="V17" s="3">
        <v>120</v>
      </c>
      <c r="W17" s="16">
        <f t="shared" si="4"/>
        <v>4.124936118068633</v>
      </c>
      <c r="X17" s="4">
        <f t="shared" si="5"/>
        <v>27.202003774683039</v>
      </c>
      <c r="Y17" s="22">
        <f>AVERAGE(X17:X19)</f>
        <v>26.036583305331167</v>
      </c>
      <c r="Z17" s="23" t="str">
        <f>IF(Y17&gt;=25,"GOOD","POOR")</f>
        <v>GOOD</v>
      </c>
    </row>
    <row r="18" spans="1:26" x14ac:dyDescent="0.3">
      <c r="A18" s="5"/>
      <c r="B18" s="6"/>
      <c r="C18" s="18"/>
      <c r="D18" s="6"/>
      <c r="E18" s="8"/>
      <c r="F18" s="9"/>
      <c r="G18" s="10"/>
      <c r="H18" s="11"/>
      <c r="J18" s="5"/>
      <c r="K18" s="6"/>
      <c r="L18" s="17"/>
      <c r="M18" s="6"/>
      <c r="N18" s="8"/>
      <c r="O18" s="9"/>
      <c r="P18" s="10"/>
      <c r="Q18" s="11"/>
      <c r="S18" s="21"/>
      <c r="T18" s="3" t="s">
        <v>9</v>
      </c>
      <c r="U18" s="12">
        <v>29.95202660854369</v>
      </c>
      <c r="V18" s="3">
        <v>120</v>
      </c>
      <c r="W18" s="16">
        <f t="shared" si="4"/>
        <v>4.0064066972273089</v>
      </c>
      <c r="X18" s="4">
        <f t="shared" si="5"/>
        <v>25.53210457780434</v>
      </c>
      <c r="Y18" s="22"/>
      <c r="Z18" s="23"/>
    </row>
    <row r="19" spans="1:26" x14ac:dyDescent="0.3">
      <c r="A19" s="5"/>
      <c r="B19" s="6"/>
      <c r="C19" s="18"/>
      <c r="D19" s="6"/>
      <c r="E19" s="8"/>
      <c r="F19" s="9"/>
      <c r="G19" s="10"/>
      <c r="H19" s="11"/>
      <c r="J19" s="5"/>
      <c r="K19" s="6"/>
      <c r="L19" s="17"/>
      <c r="M19" s="6"/>
      <c r="N19" s="8"/>
      <c r="O19" s="9"/>
      <c r="P19" s="10"/>
      <c r="Q19" s="11"/>
      <c r="S19" s="21"/>
      <c r="T19" s="3" t="s">
        <v>10</v>
      </c>
      <c r="U19" s="12">
        <v>30.038251188643834</v>
      </c>
      <c r="V19" s="3">
        <v>120</v>
      </c>
      <c r="W19" s="16">
        <f t="shared" si="4"/>
        <v>3.9949063361373987</v>
      </c>
      <c r="X19" s="4">
        <f t="shared" si="5"/>
        <v>25.375641563506118</v>
      </c>
      <c r="Y19" s="22"/>
      <c r="Z19" s="23"/>
    </row>
    <row r="20" spans="1:26" x14ac:dyDescent="0.3">
      <c r="A20" s="5"/>
      <c r="B20" s="6"/>
      <c r="C20" s="18"/>
      <c r="D20" s="6"/>
      <c r="E20" s="8"/>
      <c r="F20" s="9"/>
      <c r="G20" s="10"/>
      <c r="H20" s="11"/>
      <c r="J20" s="5"/>
      <c r="K20" s="6"/>
      <c r="L20" s="17"/>
      <c r="M20" s="6"/>
      <c r="N20" s="8"/>
      <c r="O20" s="9"/>
      <c r="P20" s="10"/>
      <c r="Q20" s="11"/>
      <c r="S20" s="21" t="s">
        <v>36</v>
      </c>
      <c r="T20" s="3" t="s">
        <v>8</v>
      </c>
      <c r="U20" s="12">
        <v>29.350159898525508</v>
      </c>
      <c r="V20" s="3">
        <v>120</v>
      </c>
      <c r="W20" s="16">
        <f t="shared" si="4"/>
        <v>4.0885637562072894</v>
      </c>
      <c r="X20" s="4">
        <f t="shared" si="5"/>
        <v>26.678276269240278</v>
      </c>
      <c r="Y20" s="22">
        <f>AVERAGE(X20:X22)</f>
        <v>25.747702766876262</v>
      </c>
      <c r="Z20" s="23" t="str">
        <f>IF(Y20&gt;=25,"GOOD","POOR")</f>
        <v>GOOD</v>
      </c>
    </row>
    <row r="21" spans="1:26" x14ac:dyDescent="0.3">
      <c r="A21" s="5"/>
      <c r="B21" s="6"/>
      <c r="C21" s="18"/>
      <c r="D21" s="6"/>
      <c r="E21" s="8"/>
      <c r="F21" s="9"/>
      <c r="G21" s="10"/>
      <c r="H21" s="11"/>
      <c r="J21" s="5"/>
      <c r="K21" s="6"/>
      <c r="L21" s="17"/>
      <c r="M21" s="6"/>
      <c r="N21" s="8"/>
      <c r="O21" s="9"/>
      <c r="P21" s="10"/>
      <c r="Q21" s="11"/>
      <c r="S21" s="21"/>
      <c r="T21" s="3" t="s">
        <v>9</v>
      </c>
      <c r="U21" s="12">
        <v>30.879657760211472</v>
      </c>
      <c r="V21" s="3">
        <v>120</v>
      </c>
      <c r="W21" s="16">
        <f t="shared" si="4"/>
        <v>3.8860534314153035</v>
      </c>
      <c r="X21" s="4">
        <f t="shared" si="5"/>
        <v>23.941368033634674</v>
      </c>
      <c r="Y21" s="22"/>
      <c r="Z21" s="23"/>
    </row>
    <row r="22" spans="1:26" x14ac:dyDescent="0.3">
      <c r="A22" s="5"/>
      <c r="B22" s="6"/>
      <c r="C22" s="18"/>
      <c r="D22" s="6"/>
      <c r="E22" s="8"/>
      <c r="F22" s="9"/>
      <c r="G22" s="10"/>
      <c r="H22" s="11"/>
      <c r="J22" s="5"/>
      <c r="K22" s="6"/>
      <c r="L22" s="17"/>
      <c r="M22" s="6"/>
      <c r="N22" s="8"/>
      <c r="O22" s="9"/>
      <c r="P22" s="10"/>
      <c r="Q22" s="11"/>
      <c r="S22" s="21"/>
      <c r="T22" s="3" t="s">
        <v>10</v>
      </c>
      <c r="U22" s="12">
        <v>29.377808136977613</v>
      </c>
      <c r="V22" s="3">
        <v>120</v>
      </c>
      <c r="W22" s="16">
        <f t="shared" si="4"/>
        <v>4.0847158998549302</v>
      </c>
      <c r="X22" s="4">
        <f t="shared" si="5"/>
        <v>26.623463997753841</v>
      </c>
      <c r="Y22" s="22"/>
      <c r="Z22" s="23"/>
    </row>
    <row r="23" spans="1:26" x14ac:dyDescent="0.3">
      <c r="A23" s="5"/>
      <c r="B23" s="6"/>
      <c r="C23" s="17"/>
      <c r="D23" s="6"/>
      <c r="E23" s="8"/>
      <c r="F23" s="9"/>
      <c r="G23" s="10"/>
      <c r="H23" s="11"/>
    </row>
    <row r="24" spans="1:26" x14ac:dyDescent="0.3">
      <c r="A24" s="5"/>
      <c r="B24" s="6"/>
      <c r="C24" s="17"/>
      <c r="D24" s="6"/>
      <c r="E24" s="8"/>
      <c r="F24" s="9"/>
      <c r="G24" s="10"/>
      <c r="H24" s="11"/>
    </row>
    <row r="25" spans="1:26" x14ac:dyDescent="0.3">
      <c r="A25" s="5"/>
      <c r="B25" s="6"/>
      <c r="C25" s="17"/>
      <c r="D25" s="6"/>
      <c r="E25" s="8"/>
      <c r="F25" s="9"/>
      <c r="G25" s="10"/>
      <c r="H25" s="11"/>
    </row>
    <row r="26" spans="1:26" x14ac:dyDescent="0.3">
      <c r="A26" s="5"/>
      <c r="B26" s="6"/>
      <c r="C26" s="17"/>
      <c r="D26" s="6"/>
      <c r="E26" s="8"/>
      <c r="F26" s="9"/>
      <c r="G26" s="10"/>
      <c r="H26" s="11"/>
    </row>
    <row r="27" spans="1:26" x14ac:dyDescent="0.3">
      <c r="A27" s="5"/>
      <c r="B27" s="6"/>
      <c r="C27" s="17"/>
      <c r="D27" s="6"/>
      <c r="E27" s="8"/>
      <c r="F27" s="9"/>
      <c r="G27" s="10"/>
      <c r="H27" s="11"/>
    </row>
    <row r="28" spans="1:26" x14ac:dyDescent="0.3">
      <c r="A28" s="5"/>
      <c r="B28" s="6"/>
      <c r="C28" s="17"/>
      <c r="D28" s="6"/>
      <c r="E28" s="8"/>
      <c r="F28" s="9"/>
      <c r="G28" s="10"/>
      <c r="H28" s="11"/>
    </row>
    <row r="29" spans="1:26" x14ac:dyDescent="0.3">
      <c r="A29" s="5"/>
      <c r="B29" s="6"/>
      <c r="C29" s="7"/>
      <c r="D29" s="6"/>
      <c r="E29" s="8"/>
      <c r="F29" s="9"/>
      <c r="G29" s="10"/>
      <c r="H29" s="11"/>
    </row>
    <row r="30" spans="1:26" x14ac:dyDescent="0.3">
      <c r="A30" s="5"/>
      <c r="B30" s="6"/>
      <c r="C30" s="7"/>
      <c r="D30" s="6"/>
      <c r="E30" s="8"/>
      <c r="F30" s="9"/>
      <c r="G30" s="10"/>
      <c r="H30" s="11"/>
    </row>
    <row r="31" spans="1:26" x14ac:dyDescent="0.3">
      <c r="A31" s="5"/>
      <c r="B31" s="6"/>
      <c r="C31" s="7"/>
      <c r="D31" s="6"/>
      <c r="E31" s="8"/>
      <c r="F31" s="9"/>
      <c r="G31" s="10"/>
      <c r="H31" s="11"/>
    </row>
  </sheetData>
  <mergeCells count="39">
    <mergeCell ref="S20:S22"/>
    <mergeCell ref="Y20:Y22"/>
    <mergeCell ref="Z20:Z22"/>
    <mergeCell ref="S14:S16"/>
    <mergeCell ref="Y14:Y16"/>
    <mergeCell ref="Z14:Z16"/>
    <mergeCell ref="S17:S19"/>
    <mergeCell ref="Y17:Y19"/>
    <mergeCell ref="Z17:Z19"/>
    <mergeCell ref="J11:J13"/>
    <mergeCell ref="P11:P13"/>
    <mergeCell ref="Q11:Q13"/>
    <mergeCell ref="S11:S13"/>
    <mergeCell ref="Y11:Y13"/>
    <mergeCell ref="Z11:Z13"/>
    <mergeCell ref="Y5:Y7"/>
    <mergeCell ref="Z5:Z7"/>
    <mergeCell ref="J8:J10"/>
    <mergeCell ref="P8:P10"/>
    <mergeCell ref="Q8:Q10"/>
    <mergeCell ref="S8:S10"/>
    <mergeCell ref="Y8:Y10"/>
    <mergeCell ref="Z8:Z10"/>
    <mergeCell ref="S2:S4"/>
    <mergeCell ref="Y2:Y4"/>
    <mergeCell ref="Z2:Z4"/>
    <mergeCell ref="A5:A7"/>
    <mergeCell ref="G5:G7"/>
    <mergeCell ref="H5:H7"/>
    <mergeCell ref="J5:J7"/>
    <mergeCell ref="P5:P7"/>
    <mergeCell ref="Q5:Q7"/>
    <mergeCell ref="S5:S7"/>
    <mergeCell ref="A2:A4"/>
    <mergeCell ref="G2:G4"/>
    <mergeCell ref="H2:H4"/>
    <mergeCell ref="J2:J4"/>
    <mergeCell ref="P2:P4"/>
    <mergeCell ref="Q2:Q4"/>
  </mergeCells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tabSelected="1" workbookViewId="0">
      <selection activeCell="E24" sqref="E24"/>
    </sheetView>
  </sheetViews>
  <sheetFormatPr defaultRowHeight="14.4" x14ac:dyDescent="0.3"/>
  <cols>
    <col min="6" max="6" width="13.6640625" customWidth="1"/>
  </cols>
  <sheetData>
    <row r="1" spans="1:7" ht="43.2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41</v>
      </c>
      <c r="G1" s="13" t="s">
        <v>33</v>
      </c>
    </row>
    <row r="2" spans="1:7" ht="28.8" x14ac:dyDescent="0.3">
      <c r="A2" s="14" t="s">
        <v>34</v>
      </c>
      <c r="B2" s="3" t="s">
        <v>37</v>
      </c>
      <c r="C2" s="15">
        <v>8</v>
      </c>
      <c r="D2" s="15">
        <v>8</v>
      </c>
      <c r="E2" s="15">
        <f>C2-D2</f>
        <v>0</v>
      </c>
      <c r="F2" s="15">
        <f t="shared" ref="F2:F5" si="0">(D2*100)/C2</f>
        <v>100</v>
      </c>
      <c r="G2" s="15">
        <f t="shared" ref="G2:G5" si="1">100-F2</f>
        <v>0</v>
      </c>
    </row>
    <row r="3" spans="1:7" x14ac:dyDescent="0.3">
      <c r="A3" s="19" t="s">
        <v>35</v>
      </c>
      <c r="B3" s="3" t="s">
        <v>37</v>
      </c>
      <c r="C3" s="15">
        <v>2</v>
      </c>
      <c r="D3" s="15">
        <v>2</v>
      </c>
      <c r="E3" s="15">
        <f t="shared" ref="E3:E5" si="2">C3-D3</f>
        <v>0</v>
      </c>
      <c r="F3" s="15">
        <f t="shared" si="0"/>
        <v>100</v>
      </c>
      <c r="G3" s="15">
        <f t="shared" si="1"/>
        <v>0</v>
      </c>
    </row>
    <row r="4" spans="1:7" x14ac:dyDescent="0.3">
      <c r="A4" s="19"/>
      <c r="B4" s="15" t="s">
        <v>38</v>
      </c>
      <c r="C4" s="15">
        <v>4</v>
      </c>
      <c r="D4" s="15">
        <v>4</v>
      </c>
      <c r="E4" s="15">
        <f t="shared" si="2"/>
        <v>0</v>
      </c>
      <c r="F4" s="15">
        <f t="shared" si="0"/>
        <v>100</v>
      </c>
      <c r="G4" s="15">
        <f t="shared" si="1"/>
        <v>0</v>
      </c>
    </row>
    <row r="5" spans="1:7" x14ac:dyDescent="0.3">
      <c r="A5" s="20"/>
      <c r="B5" s="15" t="s">
        <v>39</v>
      </c>
      <c r="C5" s="15">
        <v>7</v>
      </c>
      <c r="D5" s="15">
        <v>7</v>
      </c>
      <c r="E5" s="15">
        <f t="shared" si="2"/>
        <v>0</v>
      </c>
      <c r="F5" s="15">
        <f t="shared" si="0"/>
        <v>100</v>
      </c>
      <c r="G5" s="15">
        <f t="shared" si="1"/>
        <v>0</v>
      </c>
    </row>
    <row r="6" spans="1:7" x14ac:dyDescent="0.3">
      <c r="A6" s="19" t="s">
        <v>42</v>
      </c>
      <c r="B6" s="3" t="s">
        <v>37</v>
      </c>
      <c r="C6" s="15">
        <v>9.3333333333333304</v>
      </c>
      <c r="D6" s="15">
        <v>9.3333333333333304</v>
      </c>
      <c r="E6" s="15">
        <f t="shared" ref="E6:E20" si="3">C6-D6</f>
        <v>0</v>
      </c>
      <c r="F6" s="15">
        <f t="shared" ref="F6:F20" si="4">(D6*100)/C6</f>
        <v>100</v>
      </c>
      <c r="G6" s="15">
        <f t="shared" ref="G6:G20" si="5">100-F6</f>
        <v>0</v>
      </c>
    </row>
    <row r="7" spans="1:7" x14ac:dyDescent="0.3">
      <c r="A7" s="19"/>
      <c r="B7" s="15" t="s">
        <v>38</v>
      </c>
      <c r="C7" s="15">
        <v>11.8333333333333</v>
      </c>
      <c r="D7" s="15">
        <v>11.8333333333333</v>
      </c>
      <c r="E7" s="15">
        <f t="shared" si="3"/>
        <v>0</v>
      </c>
      <c r="F7" s="15">
        <f t="shared" si="4"/>
        <v>100</v>
      </c>
      <c r="G7" s="15">
        <f t="shared" si="5"/>
        <v>0</v>
      </c>
    </row>
    <row r="8" spans="1:7" x14ac:dyDescent="0.3">
      <c r="A8" s="20"/>
      <c r="B8" s="15" t="s">
        <v>39</v>
      </c>
      <c r="C8" s="15">
        <v>14.3333333333333</v>
      </c>
      <c r="D8" s="15">
        <v>14.3333333333333</v>
      </c>
      <c r="E8" s="15">
        <f t="shared" si="3"/>
        <v>0</v>
      </c>
      <c r="F8" s="15">
        <f t="shared" si="4"/>
        <v>100</v>
      </c>
      <c r="G8" s="15">
        <f t="shared" si="5"/>
        <v>0</v>
      </c>
    </row>
    <row r="9" spans="1:7" x14ac:dyDescent="0.3">
      <c r="A9" s="19" t="s">
        <v>43</v>
      </c>
      <c r="B9" s="3" t="s">
        <v>37</v>
      </c>
      <c r="C9" s="15">
        <v>16.8333333333333</v>
      </c>
      <c r="D9" s="15">
        <v>16.8333333333333</v>
      </c>
      <c r="E9" s="15">
        <f t="shared" si="3"/>
        <v>0</v>
      </c>
      <c r="F9" s="15">
        <f t="shared" si="4"/>
        <v>100</v>
      </c>
      <c r="G9" s="15">
        <f t="shared" si="5"/>
        <v>0</v>
      </c>
    </row>
    <row r="10" spans="1:7" x14ac:dyDescent="0.3">
      <c r="A10" s="19"/>
      <c r="B10" s="15" t="s">
        <v>38</v>
      </c>
      <c r="C10" s="15">
        <v>19.3333333333333</v>
      </c>
      <c r="D10" s="15">
        <v>19.3333333333333</v>
      </c>
      <c r="E10" s="15">
        <f t="shared" si="3"/>
        <v>0</v>
      </c>
      <c r="F10" s="15">
        <f t="shared" si="4"/>
        <v>100</v>
      </c>
      <c r="G10" s="15">
        <f t="shared" si="5"/>
        <v>0</v>
      </c>
    </row>
    <row r="11" spans="1:7" x14ac:dyDescent="0.3">
      <c r="A11" s="20"/>
      <c r="B11" s="15" t="s">
        <v>39</v>
      </c>
      <c r="C11" s="15">
        <v>21.8333333333333</v>
      </c>
      <c r="D11" s="15">
        <v>21.8333333333333</v>
      </c>
      <c r="E11" s="15">
        <f t="shared" si="3"/>
        <v>0</v>
      </c>
      <c r="F11" s="15">
        <f t="shared" si="4"/>
        <v>99.999999999999986</v>
      </c>
      <c r="G11" s="15">
        <f t="shared" si="5"/>
        <v>0</v>
      </c>
    </row>
    <row r="12" spans="1:7" x14ac:dyDescent="0.3">
      <c r="A12" s="19" t="s">
        <v>44</v>
      </c>
      <c r="B12" s="3" t="s">
        <v>37</v>
      </c>
      <c r="C12" s="15">
        <v>24.3333333333333</v>
      </c>
      <c r="D12" s="15">
        <v>24.3333333333333</v>
      </c>
      <c r="E12" s="15">
        <f t="shared" si="3"/>
        <v>0</v>
      </c>
      <c r="F12" s="15">
        <f t="shared" si="4"/>
        <v>100</v>
      </c>
      <c r="G12" s="15">
        <f t="shared" si="5"/>
        <v>0</v>
      </c>
    </row>
    <row r="13" spans="1:7" x14ac:dyDescent="0.3">
      <c r="A13" s="19"/>
      <c r="B13" s="15" t="s">
        <v>38</v>
      </c>
      <c r="C13" s="15">
        <v>26.8333333333333</v>
      </c>
      <c r="D13" s="15">
        <v>26.8333333333333</v>
      </c>
      <c r="E13" s="15">
        <f t="shared" si="3"/>
        <v>0</v>
      </c>
      <c r="F13" s="15">
        <f t="shared" si="4"/>
        <v>100</v>
      </c>
      <c r="G13" s="15">
        <f t="shared" si="5"/>
        <v>0</v>
      </c>
    </row>
    <row r="14" spans="1:7" x14ac:dyDescent="0.3">
      <c r="A14" s="20"/>
      <c r="B14" s="15" t="s">
        <v>39</v>
      </c>
      <c r="C14" s="15">
        <v>29.3333333333333</v>
      </c>
      <c r="D14" s="15">
        <v>29.3333333333333</v>
      </c>
      <c r="E14" s="15">
        <f t="shared" si="3"/>
        <v>0</v>
      </c>
      <c r="F14" s="15">
        <f t="shared" si="4"/>
        <v>100</v>
      </c>
      <c r="G14" s="15">
        <f t="shared" si="5"/>
        <v>0</v>
      </c>
    </row>
    <row r="15" spans="1:7" x14ac:dyDescent="0.3">
      <c r="A15" s="19" t="s">
        <v>45</v>
      </c>
      <c r="B15" s="3" t="s">
        <v>37</v>
      </c>
      <c r="C15" s="15">
        <v>31.8333333333333</v>
      </c>
      <c r="D15" s="15">
        <v>31.8333333333333</v>
      </c>
      <c r="E15" s="15">
        <f t="shared" si="3"/>
        <v>0</v>
      </c>
      <c r="F15" s="15">
        <f t="shared" si="4"/>
        <v>100</v>
      </c>
      <c r="G15" s="15">
        <f t="shared" si="5"/>
        <v>0</v>
      </c>
    </row>
    <row r="16" spans="1:7" x14ac:dyDescent="0.3">
      <c r="A16" s="19"/>
      <c r="B16" s="15" t="s">
        <v>38</v>
      </c>
      <c r="C16" s="15">
        <v>34.3333333333333</v>
      </c>
      <c r="D16" s="15">
        <v>34.3333333333333</v>
      </c>
      <c r="E16" s="15">
        <f t="shared" si="3"/>
        <v>0</v>
      </c>
      <c r="F16" s="15">
        <f t="shared" si="4"/>
        <v>100</v>
      </c>
      <c r="G16" s="15">
        <f t="shared" si="5"/>
        <v>0</v>
      </c>
    </row>
    <row r="17" spans="1:7" x14ac:dyDescent="0.3">
      <c r="A17" s="20"/>
      <c r="B17" s="15" t="s">
        <v>39</v>
      </c>
      <c r="C17" s="15">
        <v>36.8333333333333</v>
      </c>
      <c r="D17" s="15">
        <v>36.8333333333333</v>
      </c>
      <c r="E17" s="15">
        <f t="shared" si="3"/>
        <v>0</v>
      </c>
      <c r="F17" s="15">
        <f t="shared" si="4"/>
        <v>100</v>
      </c>
      <c r="G17" s="15">
        <f t="shared" si="5"/>
        <v>0</v>
      </c>
    </row>
    <row r="18" spans="1:7" x14ac:dyDescent="0.3">
      <c r="A18" s="19" t="s">
        <v>46</v>
      </c>
      <c r="B18" s="3" t="s">
        <v>37</v>
      </c>
      <c r="C18" s="15">
        <v>39.3333333333333</v>
      </c>
      <c r="D18" s="15">
        <v>39.3333333333333</v>
      </c>
      <c r="E18" s="15">
        <f t="shared" si="3"/>
        <v>0</v>
      </c>
      <c r="F18" s="15">
        <f t="shared" si="4"/>
        <v>100</v>
      </c>
      <c r="G18" s="15">
        <f t="shared" si="5"/>
        <v>0</v>
      </c>
    </row>
    <row r="19" spans="1:7" x14ac:dyDescent="0.3">
      <c r="A19" s="19"/>
      <c r="B19" s="15" t="s">
        <v>38</v>
      </c>
      <c r="C19" s="15">
        <v>41.8333333333333</v>
      </c>
      <c r="D19" s="15">
        <v>41.8333333333333</v>
      </c>
      <c r="E19" s="15">
        <f t="shared" si="3"/>
        <v>0</v>
      </c>
      <c r="F19" s="15">
        <f t="shared" si="4"/>
        <v>100</v>
      </c>
      <c r="G19" s="15">
        <f t="shared" si="5"/>
        <v>0</v>
      </c>
    </row>
    <row r="20" spans="1:7" x14ac:dyDescent="0.3">
      <c r="A20" s="20"/>
      <c r="B20" s="15" t="s">
        <v>39</v>
      </c>
      <c r="C20" s="15">
        <v>44.3333333333333</v>
      </c>
      <c r="D20" s="15">
        <v>44.3333333333333</v>
      </c>
      <c r="E20" s="15">
        <f t="shared" si="3"/>
        <v>0</v>
      </c>
      <c r="F20" s="15">
        <f t="shared" si="4"/>
        <v>100</v>
      </c>
      <c r="G20" s="15">
        <f t="shared" si="5"/>
        <v>0</v>
      </c>
    </row>
  </sheetData>
  <mergeCells count="6">
    <mergeCell ref="A18:A20"/>
    <mergeCell ref="A3:A5"/>
    <mergeCell ref="A6:A8"/>
    <mergeCell ref="A9:A11"/>
    <mergeCell ref="A12:A14"/>
    <mergeCell ref="A15:A17"/>
  </mergeCells>
  <conditionalFormatting sqref="B1:C1">
    <cfRule type="containsText" dxfId="1" priority="1" operator="containsText" text="POOR">
      <formula>NOT(ISERROR(SEARCH("POOR",B1)))</formula>
    </cfRule>
    <cfRule type="containsText" dxfId="0" priority="2" operator="containsText" text="GOOD">
      <formula>NOT(ISERROR(SEARCH("GOOD",B1)))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Gf</vt:lpstr>
      <vt:lpstr>FF</vt:lpstr>
      <vt:lpstr>SF</vt:lpstr>
      <vt:lpstr>TF</vt:lpstr>
      <vt:lpstr>FoF</vt:lpstr>
      <vt:lpstr>FiF</vt:lpstr>
      <vt:lpstr>SiF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olaoluwa obafemi</dc:creator>
  <cp:lastModifiedBy>olaoluwa obafemi</cp:lastModifiedBy>
  <dcterms:created xsi:type="dcterms:W3CDTF">2023-11-04T07:08:54Z</dcterms:created>
  <dcterms:modified xsi:type="dcterms:W3CDTF">2026-07-21T13:52:01Z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2026-07-21T13:51:34Z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8b0625a7-0e2c-461b-819d-581705ec5fea</vt:lpwstr>
  </property>
  <property fmtid="{D5CDD505-2E9C-101B-9397-08002B2CF9AE}" pid="7" name="MSIP_Label_defa4170-0d19-0005-0004-bc88714345d2_ActionId">
    <vt:lpwstr>6bc15226-0c90-489d-923d-1dab5cde9bb3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